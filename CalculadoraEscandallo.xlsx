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advanceprogress-my.sharepoint.com/personal/lourdeslliteras_grupoadvanceprogress_onmicrosoft_com/Documents/Documentos/X-Medical/"/>
    </mc:Choice>
  </mc:AlternateContent>
  <xr:revisionPtr revIDLastSave="0" documentId="8_{2450F7C6-FAE5-4340-85A6-1682280C11F0}" xr6:coauthVersionLast="47" xr6:coauthVersionMax="47" xr10:uidLastSave="{00000000-0000-0000-0000-000000000000}"/>
  <bookViews>
    <workbookView xWindow="-110" yWindow="-110" windowWidth="19420" windowHeight="10300" xr2:uid="{1D06C037-B6EA-4FF1-AF67-3E5445F1568A}"/>
  </bookViews>
  <sheets>
    <sheet name="PVR" sheetId="6" r:id="rId1"/>
    <sheet name="Servicios" sheetId="5" r:id="rId2"/>
    <sheet name="Productos" sheetId="1" r:id="rId3"/>
    <sheet name="Personal" sheetId="2" r:id="rId4"/>
    <sheet name="Gastos Generales" sheetId="4" r:id="rId5"/>
    <sheet name="Datos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6" l="1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3" i="6"/>
  <c r="A2" i="6"/>
  <c r="B2" i="6" s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J3" i="5"/>
  <c r="M3" i="5"/>
  <c r="P3" i="5"/>
  <c r="S3" i="5"/>
  <c r="V3" i="5"/>
  <c r="Y3" i="5"/>
  <c r="AB3" i="5"/>
  <c r="AE3" i="5"/>
  <c r="AH3" i="5"/>
  <c r="AK3" i="5"/>
  <c r="AN3" i="5"/>
  <c r="AQ3" i="5"/>
  <c r="AT3" i="5"/>
  <c r="AW3" i="5"/>
  <c r="AZ3" i="5"/>
  <c r="BC3" i="5"/>
  <c r="BF3" i="5"/>
  <c r="BI3" i="5"/>
  <c r="BL3" i="5"/>
  <c r="BO3" i="5"/>
  <c r="BR3" i="5"/>
  <c r="BU3" i="5"/>
  <c r="BX3" i="5"/>
  <c r="CA3" i="5"/>
  <c r="CD3" i="5"/>
  <c r="CG3" i="5"/>
  <c r="CJ3" i="5"/>
  <c r="CM3" i="5"/>
  <c r="CP3" i="5"/>
  <c r="CS3" i="5"/>
  <c r="J4" i="5"/>
  <c r="M4" i="5"/>
  <c r="P4" i="5"/>
  <c r="S4" i="5"/>
  <c r="V4" i="5"/>
  <c r="Y4" i="5"/>
  <c r="AB4" i="5"/>
  <c r="AE4" i="5"/>
  <c r="AH4" i="5"/>
  <c r="AK4" i="5"/>
  <c r="AN4" i="5"/>
  <c r="AQ4" i="5"/>
  <c r="AT4" i="5"/>
  <c r="AW4" i="5"/>
  <c r="AZ4" i="5"/>
  <c r="BC4" i="5"/>
  <c r="BF4" i="5"/>
  <c r="BI4" i="5"/>
  <c r="BL4" i="5"/>
  <c r="BO4" i="5"/>
  <c r="BR4" i="5"/>
  <c r="BU4" i="5"/>
  <c r="BX4" i="5"/>
  <c r="CA4" i="5"/>
  <c r="CD4" i="5"/>
  <c r="CG4" i="5"/>
  <c r="CJ4" i="5"/>
  <c r="CM4" i="5"/>
  <c r="CP4" i="5"/>
  <c r="CS4" i="5"/>
  <c r="J5" i="5"/>
  <c r="M5" i="5"/>
  <c r="P5" i="5"/>
  <c r="S5" i="5"/>
  <c r="V5" i="5"/>
  <c r="Y5" i="5"/>
  <c r="AB5" i="5"/>
  <c r="AE5" i="5"/>
  <c r="AH5" i="5"/>
  <c r="AK5" i="5"/>
  <c r="AN5" i="5"/>
  <c r="AQ5" i="5"/>
  <c r="AT5" i="5"/>
  <c r="AW5" i="5"/>
  <c r="AZ5" i="5"/>
  <c r="BC5" i="5"/>
  <c r="BF5" i="5"/>
  <c r="BI5" i="5"/>
  <c r="BL5" i="5"/>
  <c r="BO5" i="5"/>
  <c r="BR5" i="5"/>
  <c r="BU5" i="5"/>
  <c r="BX5" i="5"/>
  <c r="CA5" i="5"/>
  <c r="CD5" i="5"/>
  <c r="CG5" i="5"/>
  <c r="CJ5" i="5"/>
  <c r="CM5" i="5"/>
  <c r="CP5" i="5"/>
  <c r="CS5" i="5"/>
  <c r="J6" i="5"/>
  <c r="M6" i="5"/>
  <c r="P6" i="5"/>
  <c r="S6" i="5"/>
  <c r="V6" i="5"/>
  <c r="Y6" i="5"/>
  <c r="AB6" i="5"/>
  <c r="AE6" i="5"/>
  <c r="AH6" i="5"/>
  <c r="AK6" i="5"/>
  <c r="AN6" i="5"/>
  <c r="AQ6" i="5"/>
  <c r="AT6" i="5"/>
  <c r="AW6" i="5"/>
  <c r="AZ6" i="5"/>
  <c r="BC6" i="5"/>
  <c r="BF6" i="5"/>
  <c r="BI6" i="5"/>
  <c r="BL6" i="5"/>
  <c r="BO6" i="5"/>
  <c r="BR6" i="5"/>
  <c r="BU6" i="5"/>
  <c r="BX6" i="5"/>
  <c r="CA6" i="5"/>
  <c r="CD6" i="5"/>
  <c r="CG6" i="5"/>
  <c r="CJ6" i="5"/>
  <c r="CM6" i="5"/>
  <c r="CP6" i="5"/>
  <c r="CS6" i="5"/>
  <c r="J7" i="5"/>
  <c r="M7" i="5"/>
  <c r="P7" i="5"/>
  <c r="S7" i="5"/>
  <c r="V7" i="5"/>
  <c r="Y7" i="5"/>
  <c r="AB7" i="5"/>
  <c r="AE7" i="5"/>
  <c r="AH7" i="5"/>
  <c r="AK7" i="5"/>
  <c r="AN7" i="5"/>
  <c r="AQ7" i="5"/>
  <c r="AT7" i="5"/>
  <c r="AW7" i="5"/>
  <c r="AZ7" i="5"/>
  <c r="BC7" i="5"/>
  <c r="BF7" i="5"/>
  <c r="BI7" i="5"/>
  <c r="BL7" i="5"/>
  <c r="BO7" i="5"/>
  <c r="BR7" i="5"/>
  <c r="BU7" i="5"/>
  <c r="BX7" i="5"/>
  <c r="CA7" i="5"/>
  <c r="CD7" i="5"/>
  <c r="CG7" i="5"/>
  <c r="CJ7" i="5"/>
  <c r="CM7" i="5"/>
  <c r="CP7" i="5"/>
  <c r="CS7" i="5"/>
  <c r="J8" i="5"/>
  <c r="M8" i="5"/>
  <c r="P8" i="5"/>
  <c r="S8" i="5"/>
  <c r="V8" i="5"/>
  <c r="Y8" i="5"/>
  <c r="AB8" i="5"/>
  <c r="AE8" i="5"/>
  <c r="AH8" i="5"/>
  <c r="AK8" i="5"/>
  <c r="AN8" i="5"/>
  <c r="AQ8" i="5"/>
  <c r="AT8" i="5"/>
  <c r="AW8" i="5"/>
  <c r="AZ8" i="5"/>
  <c r="BC8" i="5"/>
  <c r="BF8" i="5"/>
  <c r="BI8" i="5"/>
  <c r="BL8" i="5"/>
  <c r="BO8" i="5"/>
  <c r="BR8" i="5"/>
  <c r="BU8" i="5"/>
  <c r="BX8" i="5"/>
  <c r="CA8" i="5"/>
  <c r="CD8" i="5"/>
  <c r="CG8" i="5"/>
  <c r="CJ8" i="5"/>
  <c r="CM8" i="5"/>
  <c r="CP8" i="5"/>
  <c r="CS8" i="5"/>
  <c r="J9" i="5"/>
  <c r="M9" i="5"/>
  <c r="P9" i="5"/>
  <c r="S9" i="5"/>
  <c r="V9" i="5"/>
  <c r="Y9" i="5"/>
  <c r="AB9" i="5"/>
  <c r="AE9" i="5"/>
  <c r="AH9" i="5"/>
  <c r="AK9" i="5"/>
  <c r="AN9" i="5"/>
  <c r="AQ9" i="5"/>
  <c r="AT9" i="5"/>
  <c r="AW9" i="5"/>
  <c r="AZ9" i="5"/>
  <c r="BC9" i="5"/>
  <c r="BF9" i="5"/>
  <c r="BI9" i="5"/>
  <c r="BL9" i="5"/>
  <c r="BO9" i="5"/>
  <c r="BR9" i="5"/>
  <c r="BU9" i="5"/>
  <c r="BX9" i="5"/>
  <c r="CA9" i="5"/>
  <c r="CD9" i="5"/>
  <c r="CG9" i="5"/>
  <c r="CJ9" i="5"/>
  <c r="CM9" i="5"/>
  <c r="CP9" i="5"/>
  <c r="CS9" i="5"/>
  <c r="J10" i="5"/>
  <c r="M10" i="5"/>
  <c r="P10" i="5"/>
  <c r="S10" i="5"/>
  <c r="V10" i="5"/>
  <c r="Y10" i="5"/>
  <c r="AB10" i="5"/>
  <c r="AE10" i="5"/>
  <c r="AH10" i="5"/>
  <c r="AK10" i="5"/>
  <c r="AN10" i="5"/>
  <c r="AQ10" i="5"/>
  <c r="AT10" i="5"/>
  <c r="AW10" i="5"/>
  <c r="AZ10" i="5"/>
  <c r="BC10" i="5"/>
  <c r="BF10" i="5"/>
  <c r="BI10" i="5"/>
  <c r="BL10" i="5"/>
  <c r="BO10" i="5"/>
  <c r="BR10" i="5"/>
  <c r="BU10" i="5"/>
  <c r="BX10" i="5"/>
  <c r="CA10" i="5"/>
  <c r="CD10" i="5"/>
  <c r="CG10" i="5"/>
  <c r="CJ10" i="5"/>
  <c r="CM10" i="5"/>
  <c r="CP10" i="5"/>
  <c r="CS10" i="5"/>
  <c r="J11" i="5"/>
  <c r="M11" i="5"/>
  <c r="P11" i="5"/>
  <c r="S11" i="5"/>
  <c r="V11" i="5"/>
  <c r="Y11" i="5"/>
  <c r="AB11" i="5"/>
  <c r="AE11" i="5"/>
  <c r="AH11" i="5"/>
  <c r="AK11" i="5"/>
  <c r="AN11" i="5"/>
  <c r="AQ11" i="5"/>
  <c r="AT11" i="5"/>
  <c r="AW11" i="5"/>
  <c r="AZ11" i="5"/>
  <c r="BC11" i="5"/>
  <c r="BF11" i="5"/>
  <c r="BI11" i="5"/>
  <c r="BL11" i="5"/>
  <c r="BO11" i="5"/>
  <c r="BR11" i="5"/>
  <c r="BU11" i="5"/>
  <c r="BX11" i="5"/>
  <c r="CA11" i="5"/>
  <c r="CD11" i="5"/>
  <c r="CG11" i="5"/>
  <c r="CJ11" i="5"/>
  <c r="CM11" i="5"/>
  <c r="CP11" i="5"/>
  <c r="CS11" i="5"/>
  <c r="J12" i="5"/>
  <c r="M12" i="5"/>
  <c r="P12" i="5"/>
  <c r="S12" i="5"/>
  <c r="V12" i="5"/>
  <c r="Y12" i="5"/>
  <c r="AB12" i="5"/>
  <c r="AE12" i="5"/>
  <c r="AH12" i="5"/>
  <c r="AK12" i="5"/>
  <c r="AN12" i="5"/>
  <c r="AQ12" i="5"/>
  <c r="AT12" i="5"/>
  <c r="AW12" i="5"/>
  <c r="AZ12" i="5"/>
  <c r="BC12" i="5"/>
  <c r="BF12" i="5"/>
  <c r="BI12" i="5"/>
  <c r="BL12" i="5"/>
  <c r="BO12" i="5"/>
  <c r="BR12" i="5"/>
  <c r="BU12" i="5"/>
  <c r="BX12" i="5"/>
  <c r="CA12" i="5"/>
  <c r="CD12" i="5"/>
  <c r="CG12" i="5"/>
  <c r="CJ12" i="5"/>
  <c r="CM12" i="5"/>
  <c r="CP12" i="5"/>
  <c r="CS12" i="5"/>
  <c r="J13" i="5"/>
  <c r="M13" i="5"/>
  <c r="P13" i="5"/>
  <c r="S13" i="5"/>
  <c r="V13" i="5"/>
  <c r="Y13" i="5"/>
  <c r="AB13" i="5"/>
  <c r="AE13" i="5"/>
  <c r="AH13" i="5"/>
  <c r="AK13" i="5"/>
  <c r="AN13" i="5"/>
  <c r="AQ13" i="5"/>
  <c r="AT13" i="5"/>
  <c r="AW13" i="5"/>
  <c r="AZ13" i="5"/>
  <c r="BC13" i="5"/>
  <c r="BF13" i="5"/>
  <c r="BI13" i="5"/>
  <c r="BL13" i="5"/>
  <c r="BO13" i="5"/>
  <c r="BR13" i="5"/>
  <c r="BU13" i="5"/>
  <c r="BX13" i="5"/>
  <c r="CA13" i="5"/>
  <c r="CD13" i="5"/>
  <c r="CG13" i="5"/>
  <c r="CJ13" i="5"/>
  <c r="CM13" i="5"/>
  <c r="CP13" i="5"/>
  <c r="CS13" i="5"/>
  <c r="J14" i="5"/>
  <c r="M14" i="5"/>
  <c r="P14" i="5"/>
  <c r="S14" i="5"/>
  <c r="V14" i="5"/>
  <c r="Y14" i="5"/>
  <c r="AB14" i="5"/>
  <c r="AE14" i="5"/>
  <c r="AH14" i="5"/>
  <c r="AK14" i="5"/>
  <c r="AN14" i="5"/>
  <c r="AQ14" i="5"/>
  <c r="AT14" i="5"/>
  <c r="AW14" i="5"/>
  <c r="AZ14" i="5"/>
  <c r="BC14" i="5"/>
  <c r="BF14" i="5"/>
  <c r="BI14" i="5"/>
  <c r="BL14" i="5"/>
  <c r="BO14" i="5"/>
  <c r="BR14" i="5"/>
  <c r="BU14" i="5"/>
  <c r="BX14" i="5"/>
  <c r="CA14" i="5"/>
  <c r="CD14" i="5"/>
  <c r="CG14" i="5"/>
  <c r="CJ14" i="5"/>
  <c r="CM14" i="5"/>
  <c r="CP14" i="5"/>
  <c r="CS14" i="5"/>
  <c r="J15" i="5"/>
  <c r="M15" i="5"/>
  <c r="P15" i="5"/>
  <c r="S15" i="5"/>
  <c r="V15" i="5"/>
  <c r="Y15" i="5"/>
  <c r="AB15" i="5"/>
  <c r="AE15" i="5"/>
  <c r="AH15" i="5"/>
  <c r="AK15" i="5"/>
  <c r="AN15" i="5"/>
  <c r="AQ15" i="5"/>
  <c r="AT15" i="5"/>
  <c r="AW15" i="5"/>
  <c r="AZ15" i="5"/>
  <c r="BC15" i="5"/>
  <c r="BF15" i="5"/>
  <c r="BI15" i="5"/>
  <c r="BL15" i="5"/>
  <c r="BO15" i="5"/>
  <c r="BR15" i="5"/>
  <c r="BU15" i="5"/>
  <c r="BX15" i="5"/>
  <c r="CA15" i="5"/>
  <c r="CD15" i="5"/>
  <c r="CG15" i="5"/>
  <c r="CJ15" i="5"/>
  <c r="CM15" i="5"/>
  <c r="CP15" i="5"/>
  <c r="CS15" i="5"/>
  <c r="J16" i="5"/>
  <c r="M16" i="5"/>
  <c r="P16" i="5"/>
  <c r="S16" i="5"/>
  <c r="V16" i="5"/>
  <c r="Y16" i="5"/>
  <c r="AB16" i="5"/>
  <c r="AE16" i="5"/>
  <c r="AH16" i="5"/>
  <c r="AK16" i="5"/>
  <c r="AN16" i="5"/>
  <c r="AQ16" i="5"/>
  <c r="AT16" i="5"/>
  <c r="AW16" i="5"/>
  <c r="AZ16" i="5"/>
  <c r="BC16" i="5"/>
  <c r="BF16" i="5"/>
  <c r="BI16" i="5"/>
  <c r="BL16" i="5"/>
  <c r="BO16" i="5"/>
  <c r="BR16" i="5"/>
  <c r="BU16" i="5"/>
  <c r="BX16" i="5"/>
  <c r="CA16" i="5"/>
  <c r="CD16" i="5"/>
  <c r="CG16" i="5"/>
  <c r="CJ16" i="5"/>
  <c r="CM16" i="5"/>
  <c r="CP16" i="5"/>
  <c r="CS16" i="5"/>
  <c r="J17" i="5"/>
  <c r="M17" i="5"/>
  <c r="P17" i="5"/>
  <c r="S17" i="5"/>
  <c r="V17" i="5"/>
  <c r="Y17" i="5"/>
  <c r="AB17" i="5"/>
  <c r="AE17" i="5"/>
  <c r="AH17" i="5"/>
  <c r="AK17" i="5"/>
  <c r="AN17" i="5"/>
  <c r="AQ17" i="5"/>
  <c r="AT17" i="5"/>
  <c r="AW17" i="5"/>
  <c r="AZ17" i="5"/>
  <c r="BC17" i="5"/>
  <c r="BF17" i="5"/>
  <c r="BI17" i="5"/>
  <c r="BL17" i="5"/>
  <c r="BO17" i="5"/>
  <c r="BR17" i="5"/>
  <c r="BU17" i="5"/>
  <c r="BX17" i="5"/>
  <c r="CA17" i="5"/>
  <c r="CD17" i="5"/>
  <c r="CG17" i="5"/>
  <c r="CJ17" i="5"/>
  <c r="CM17" i="5"/>
  <c r="CP17" i="5"/>
  <c r="CS17" i="5"/>
  <c r="J18" i="5"/>
  <c r="M18" i="5"/>
  <c r="P18" i="5"/>
  <c r="S18" i="5"/>
  <c r="V18" i="5"/>
  <c r="Y18" i="5"/>
  <c r="AB18" i="5"/>
  <c r="AE18" i="5"/>
  <c r="AH18" i="5"/>
  <c r="AK18" i="5"/>
  <c r="AN18" i="5"/>
  <c r="AQ18" i="5"/>
  <c r="AT18" i="5"/>
  <c r="AW18" i="5"/>
  <c r="AZ18" i="5"/>
  <c r="BC18" i="5"/>
  <c r="BF18" i="5"/>
  <c r="BI18" i="5"/>
  <c r="BL18" i="5"/>
  <c r="BO18" i="5"/>
  <c r="BR18" i="5"/>
  <c r="BU18" i="5"/>
  <c r="BX18" i="5"/>
  <c r="CA18" i="5"/>
  <c r="CD18" i="5"/>
  <c r="CG18" i="5"/>
  <c r="CJ18" i="5"/>
  <c r="CM18" i="5"/>
  <c r="CP18" i="5"/>
  <c r="CS18" i="5"/>
  <c r="J19" i="5"/>
  <c r="M19" i="5"/>
  <c r="P19" i="5"/>
  <c r="S19" i="5"/>
  <c r="V19" i="5"/>
  <c r="Y19" i="5"/>
  <c r="AB19" i="5"/>
  <c r="AE19" i="5"/>
  <c r="AH19" i="5"/>
  <c r="AK19" i="5"/>
  <c r="AN19" i="5"/>
  <c r="AQ19" i="5"/>
  <c r="AT19" i="5"/>
  <c r="AW19" i="5"/>
  <c r="AZ19" i="5"/>
  <c r="BC19" i="5"/>
  <c r="BF19" i="5"/>
  <c r="BI19" i="5"/>
  <c r="BL19" i="5"/>
  <c r="BO19" i="5"/>
  <c r="BR19" i="5"/>
  <c r="BU19" i="5"/>
  <c r="BX19" i="5"/>
  <c r="CA19" i="5"/>
  <c r="CD19" i="5"/>
  <c r="CG19" i="5"/>
  <c r="CJ19" i="5"/>
  <c r="CM19" i="5"/>
  <c r="CP19" i="5"/>
  <c r="CS19" i="5"/>
  <c r="J20" i="5"/>
  <c r="M20" i="5"/>
  <c r="P20" i="5"/>
  <c r="S20" i="5"/>
  <c r="V20" i="5"/>
  <c r="Y20" i="5"/>
  <c r="AB20" i="5"/>
  <c r="AE20" i="5"/>
  <c r="AH20" i="5"/>
  <c r="AK20" i="5"/>
  <c r="AN20" i="5"/>
  <c r="AQ20" i="5"/>
  <c r="AT20" i="5"/>
  <c r="AW20" i="5"/>
  <c r="AZ20" i="5"/>
  <c r="BC20" i="5"/>
  <c r="BF20" i="5"/>
  <c r="BI20" i="5"/>
  <c r="BL20" i="5"/>
  <c r="BO20" i="5"/>
  <c r="BR20" i="5"/>
  <c r="BU20" i="5"/>
  <c r="BX20" i="5"/>
  <c r="CA20" i="5"/>
  <c r="CD20" i="5"/>
  <c r="CG20" i="5"/>
  <c r="CJ20" i="5"/>
  <c r="CM20" i="5"/>
  <c r="CP20" i="5"/>
  <c r="CS20" i="5"/>
  <c r="J21" i="5"/>
  <c r="M21" i="5"/>
  <c r="P21" i="5"/>
  <c r="S21" i="5"/>
  <c r="V21" i="5"/>
  <c r="Y21" i="5"/>
  <c r="AB21" i="5"/>
  <c r="AE21" i="5"/>
  <c r="AH21" i="5"/>
  <c r="AK21" i="5"/>
  <c r="AN21" i="5"/>
  <c r="AQ21" i="5"/>
  <c r="AT21" i="5"/>
  <c r="AW21" i="5"/>
  <c r="AZ21" i="5"/>
  <c r="BC21" i="5"/>
  <c r="BF21" i="5"/>
  <c r="BI21" i="5"/>
  <c r="BL21" i="5"/>
  <c r="BO21" i="5"/>
  <c r="BR21" i="5"/>
  <c r="BU21" i="5"/>
  <c r="BX21" i="5"/>
  <c r="CA21" i="5"/>
  <c r="CD21" i="5"/>
  <c r="CG21" i="5"/>
  <c r="CJ21" i="5"/>
  <c r="CM21" i="5"/>
  <c r="CP21" i="5"/>
  <c r="CS21" i="5"/>
  <c r="J22" i="5"/>
  <c r="M22" i="5"/>
  <c r="P22" i="5"/>
  <c r="S22" i="5"/>
  <c r="V22" i="5"/>
  <c r="Y22" i="5"/>
  <c r="AB22" i="5"/>
  <c r="AE22" i="5"/>
  <c r="AH22" i="5"/>
  <c r="AK22" i="5"/>
  <c r="AN22" i="5"/>
  <c r="AQ22" i="5"/>
  <c r="AT22" i="5"/>
  <c r="AW22" i="5"/>
  <c r="AZ22" i="5"/>
  <c r="BC22" i="5"/>
  <c r="BF22" i="5"/>
  <c r="BI22" i="5"/>
  <c r="BL22" i="5"/>
  <c r="BO22" i="5"/>
  <c r="BR22" i="5"/>
  <c r="BU22" i="5"/>
  <c r="BX22" i="5"/>
  <c r="CA22" i="5"/>
  <c r="CD22" i="5"/>
  <c r="CG22" i="5"/>
  <c r="CJ22" i="5"/>
  <c r="CM22" i="5"/>
  <c r="CP22" i="5"/>
  <c r="CS22" i="5"/>
  <c r="J23" i="5"/>
  <c r="M23" i="5"/>
  <c r="P23" i="5"/>
  <c r="S23" i="5"/>
  <c r="V23" i="5"/>
  <c r="Y23" i="5"/>
  <c r="AB23" i="5"/>
  <c r="AE23" i="5"/>
  <c r="AH23" i="5"/>
  <c r="AK23" i="5"/>
  <c r="AN23" i="5"/>
  <c r="AQ23" i="5"/>
  <c r="AT23" i="5"/>
  <c r="AW23" i="5"/>
  <c r="AZ23" i="5"/>
  <c r="BC23" i="5"/>
  <c r="BF23" i="5"/>
  <c r="BI23" i="5"/>
  <c r="BL23" i="5"/>
  <c r="BO23" i="5"/>
  <c r="BR23" i="5"/>
  <c r="BU23" i="5"/>
  <c r="BX23" i="5"/>
  <c r="CA23" i="5"/>
  <c r="CD23" i="5"/>
  <c r="CG23" i="5"/>
  <c r="CJ23" i="5"/>
  <c r="CM23" i="5"/>
  <c r="CP23" i="5"/>
  <c r="CS23" i="5"/>
  <c r="J24" i="5"/>
  <c r="M24" i="5"/>
  <c r="P24" i="5"/>
  <c r="S24" i="5"/>
  <c r="V24" i="5"/>
  <c r="Y24" i="5"/>
  <c r="AB24" i="5"/>
  <c r="AE24" i="5"/>
  <c r="AH24" i="5"/>
  <c r="AK24" i="5"/>
  <c r="AN24" i="5"/>
  <c r="AQ24" i="5"/>
  <c r="AT24" i="5"/>
  <c r="AW24" i="5"/>
  <c r="AZ24" i="5"/>
  <c r="BC24" i="5"/>
  <c r="BF24" i="5"/>
  <c r="BI24" i="5"/>
  <c r="BL24" i="5"/>
  <c r="BO24" i="5"/>
  <c r="BR24" i="5"/>
  <c r="BU24" i="5"/>
  <c r="BX24" i="5"/>
  <c r="CA24" i="5"/>
  <c r="CD24" i="5"/>
  <c r="CG24" i="5"/>
  <c r="CJ24" i="5"/>
  <c r="CM24" i="5"/>
  <c r="CP24" i="5"/>
  <c r="CS24" i="5"/>
  <c r="J25" i="5"/>
  <c r="M25" i="5"/>
  <c r="P25" i="5"/>
  <c r="S25" i="5"/>
  <c r="V25" i="5"/>
  <c r="Y25" i="5"/>
  <c r="AB25" i="5"/>
  <c r="AE25" i="5"/>
  <c r="AH25" i="5"/>
  <c r="AK25" i="5"/>
  <c r="AN25" i="5"/>
  <c r="AQ25" i="5"/>
  <c r="AT25" i="5"/>
  <c r="AW25" i="5"/>
  <c r="AZ25" i="5"/>
  <c r="BC25" i="5"/>
  <c r="BF25" i="5"/>
  <c r="BI25" i="5"/>
  <c r="BL25" i="5"/>
  <c r="BO25" i="5"/>
  <c r="BR25" i="5"/>
  <c r="BU25" i="5"/>
  <c r="BX25" i="5"/>
  <c r="CA25" i="5"/>
  <c r="CD25" i="5"/>
  <c r="CG25" i="5"/>
  <c r="CJ25" i="5"/>
  <c r="CM25" i="5"/>
  <c r="CP25" i="5"/>
  <c r="CS25" i="5"/>
  <c r="J26" i="5"/>
  <c r="M26" i="5"/>
  <c r="P26" i="5"/>
  <c r="S26" i="5"/>
  <c r="V26" i="5"/>
  <c r="Y26" i="5"/>
  <c r="AB26" i="5"/>
  <c r="AE26" i="5"/>
  <c r="AH26" i="5"/>
  <c r="AK26" i="5"/>
  <c r="AN26" i="5"/>
  <c r="AQ26" i="5"/>
  <c r="AT26" i="5"/>
  <c r="AW26" i="5"/>
  <c r="AZ26" i="5"/>
  <c r="BC26" i="5"/>
  <c r="BF26" i="5"/>
  <c r="BI26" i="5"/>
  <c r="BL26" i="5"/>
  <c r="BO26" i="5"/>
  <c r="BR26" i="5"/>
  <c r="BU26" i="5"/>
  <c r="BX26" i="5"/>
  <c r="CA26" i="5"/>
  <c r="CD26" i="5"/>
  <c r="CG26" i="5"/>
  <c r="CJ26" i="5"/>
  <c r="CM26" i="5"/>
  <c r="CP26" i="5"/>
  <c r="CS26" i="5"/>
  <c r="J27" i="5"/>
  <c r="M27" i="5"/>
  <c r="P27" i="5"/>
  <c r="S27" i="5"/>
  <c r="V27" i="5"/>
  <c r="Y27" i="5"/>
  <c r="AB27" i="5"/>
  <c r="AE27" i="5"/>
  <c r="AH27" i="5"/>
  <c r="AK27" i="5"/>
  <c r="AN27" i="5"/>
  <c r="AQ27" i="5"/>
  <c r="AT27" i="5"/>
  <c r="AW27" i="5"/>
  <c r="AZ27" i="5"/>
  <c r="BC27" i="5"/>
  <c r="BF27" i="5"/>
  <c r="BI27" i="5"/>
  <c r="BL27" i="5"/>
  <c r="BO27" i="5"/>
  <c r="BR27" i="5"/>
  <c r="BU27" i="5"/>
  <c r="BX27" i="5"/>
  <c r="CA27" i="5"/>
  <c r="CD27" i="5"/>
  <c r="CG27" i="5"/>
  <c r="CJ27" i="5"/>
  <c r="CM27" i="5"/>
  <c r="CP27" i="5"/>
  <c r="CS27" i="5"/>
  <c r="J28" i="5"/>
  <c r="M28" i="5"/>
  <c r="P28" i="5"/>
  <c r="S28" i="5"/>
  <c r="V28" i="5"/>
  <c r="Y28" i="5"/>
  <c r="AB28" i="5"/>
  <c r="AE28" i="5"/>
  <c r="AH28" i="5"/>
  <c r="AK28" i="5"/>
  <c r="AN28" i="5"/>
  <c r="AQ28" i="5"/>
  <c r="AT28" i="5"/>
  <c r="AW28" i="5"/>
  <c r="AZ28" i="5"/>
  <c r="BC28" i="5"/>
  <c r="BF28" i="5"/>
  <c r="BI28" i="5"/>
  <c r="BL28" i="5"/>
  <c r="BO28" i="5"/>
  <c r="BR28" i="5"/>
  <c r="BU28" i="5"/>
  <c r="BX28" i="5"/>
  <c r="CA28" i="5"/>
  <c r="CD28" i="5"/>
  <c r="CG28" i="5"/>
  <c r="CJ28" i="5"/>
  <c r="CM28" i="5"/>
  <c r="CP28" i="5"/>
  <c r="CS28" i="5"/>
  <c r="J29" i="5"/>
  <c r="M29" i="5"/>
  <c r="P29" i="5"/>
  <c r="S29" i="5"/>
  <c r="V29" i="5"/>
  <c r="Y29" i="5"/>
  <c r="AB29" i="5"/>
  <c r="AE29" i="5"/>
  <c r="AH29" i="5"/>
  <c r="AK29" i="5"/>
  <c r="AN29" i="5"/>
  <c r="AQ29" i="5"/>
  <c r="AT29" i="5"/>
  <c r="AW29" i="5"/>
  <c r="AZ29" i="5"/>
  <c r="BC29" i="5"/>
  <c r="BF29" i="5"/>
  <c r="BI29" i="5"/>
  <c r="BL29" i="5"/>
  <c r="BO29" i="5"/>
  <c r="BR29" i="5"/>
  <c r="BU29" i="5"/>
  <c r="BX29" i="5"/>
  <c r="CA29" i="5"/>
  <c r="CD29" i="5"/>
  <c r="CG29" i="5"/>
  <c r="CJ29" i="5"/>
  <c r="CM29" i="5"/>
  <c r="CP29" i="5"/>
  <c r="CS29" i="5"/>
  <c r="J30" i="5"/>
  <c r="M30" i="5"/>
  <c r="P30" i="5"/>
  <c r="S30" i="5"/>
  <c r="V30" i="5"/>
  <c r="Y30" i="5"/>
  <c r="AB30" i="5"/>
  <c r="AE30" i="5"/>
  <c r="AH30" i="5"/>
  <c r="AK30" i="5"/>
  <c r="AN30" i="5"/>
  <c r="AQ30" i="5"/>
  <c r="AT30" i="5"/>
  <c r="AW30" i="5"/>
  <c r="AZ30" i="5"/>
  <c r="BC30" i="5"/>
  <c r="BF30" i="5"/>
  <c r="BI30" i="5"/>
  <c r="BL30" i="5"/>
  <c r="BO30" i="5"/>
  <c r="BR30" i="5"/>
  <c r="BU30" i="5"/>
  <c r="BX30" i="5"/>
  <c r="CA30" i="5"/>
  <c r="CD30" i="5"/>
  <c r="CG30" i="5"/>
  <c r="CJ30" i="5"/>
  <c r="CM30" i="5"/>
  <c r="CP30" i="5"/>
  <c r="CS30" i="5"/>
  <c r="J31" i="5"/>
  <c r="M31" i="5"/>
  <c r="P31" i="5"/>
  <c r="S31" i="5"/>
  <c r="V31" i="5"/>
  <c r="Y31" i="5"/>
  <c r="AB31" i="5"/>
  <c r="AE31" i="5"/>
  <c r="AH31" i="5"/>
  <c r="AK31" i="5"/>
  <c r="AN31" i="5"/>
  <c r="AQ31" i="5"/>
  <c r="AT31" i="5"/>
  <c r="AW31" i="5"/>
  <c r="AZ31" i="5"/>
  <c r="BC31" i="5"/>
  <c r="BF31" i="5"/>
  <c r="BI31" i="5"/>
  <c r="BL31" i="5"/>
  <c r="BO31" i="5"/>
  <c r="BR31" i="5"/>
  <c r="BU31" i="5"/>
  <c r="BX31" i="5"/>
  <c r="CA31" i="5"/>
  <c r="CD31" i="5"/>
  <c r="CG31" i="5"/>
  <c r="CJ31" i="5"/>
  <c r="CM31" i="5"/>
  <c r="CP31" i="5"/>
  <c r="CS31" i="5"/>
  <c r="J32" i="5"/>
  <c r="M32" i="5"/>
  <c r="P32" i="5"/>
  <c r="S32" i="5"/>
  <c r="V32" i="5"/>
  <c r="Y32" i="5"/>
  <c r="AB32" i="5"/>
  <c r="AE32" i="5"/>
  <c r="AH32" i="5"/>
  <c r="AK32" i="5"/>
  <c r="AN32" i="5"/>
  <c r="AQ32" i="5"/>
  <c r="AT32" i="5"/>
  <c r="AW32" i="5"/>
  <c r="AZ32" i="5"/>
  <c r="BC32" i="5"/>
  <c r="BF32" i="5"/>
  <c r="BI32" i="5"/>
  <c r="BL32" i="5"/>
  <c r="BO32" i="5"/>
  <c r="BR32" i="5"/>
  <c r="BU32" i="5"/>
  <c r="BX32" i="5"/>
  <c r="CA32" i="5"/>
  <c r="CD32" i="5"/>
  <c r="CG32" i="5"/>
  <c r="CJ32" i="5"/>
  <c r="CM32" i="5"/>
  <c r="CP32" i="5"/>
  <c r="CS32" i="5"/>
  <c r="J33" i="5"/>
  <c r="M33" i="5"/>
  <c r="P33" i="5"/>
  <c r="S33" i="5"/>
  <c r="V33" i="5"/>
  <c r="Y33" i="5"/>
  <c r="AB33" i="5"/>
  <c r="AE33" i="5"/>
  <c r="AH33" i="5"/>
  <c r="AK33" i="5"/>
  <c r="AN33" i="5"/>
  <c r="AQ33" i="5"/>
  <c r="AT33" i="5"/>
  <c r="AW33" i="5"/>
  <c r="AZ33" i="5"/>
  <c r="BC33" i="5"/>
  <c r="BF33" i="5"/>
  <c r="BI33" i="5"/>
  <c r="BL33" i="5"/>
  <c r="BO33" i="5"/>
  <c r="BR33" i="5"/>
  <c r="BU33" i="5"/>
  <c r="BX33" i="5"/>
  <c r="CA33" i="5"/>
  <c r="CD33" i="5"/>
  <c r="CG33" i="5"/>
  <c r="CJ33" i="5"/>
  <c r="CM33" i="5"/>
  <c r="CP33" i="5"/>
  <c r="CS33" i="5"/>
  <c r="J34" i="5"/>
  <c r="M34" i="5"/>
  <c r="P34" i="5"/>
  <c r="S34" i="5"/>
  <c r="V34" i="5"/>
  <c r="Y34" i="5"/>
  <c r="AB34" i="5"/>
  <c r="AE34" i="5"/>
  <c r="AH34" i="5"/>
  <c r="AK34" i="5"/>
  <c r="AN34" i="5"/>
  <c r="AQ34" i="5"/>
  <c r="AT34" i="5"/>
  <c r="AW34" i="5"/>
  <c r="AZ34" i="5"/>
  <c r="BC34" i="5"/>
  <c r="BF34" i="5"/>
  <c r="BI34" i="5"/>
  <c r="BL34" i="5"/>
  <c r="BO34" i="5"/>
  <c r="BR34" i="5"/>
  <c r="BU34" i="5"/>
  <c r="BX34" i="5"/>
  <c r="CA34" i="5"/>
  <c r="CD34" i="5"/>
  <c r="CG34" i="5"/>
  <c r="CJ34" i="5"/>
  <c r="CM34" i="5"/>
  <c r="CP34" i="5"/>
  <c r="CS34" i="5"/>
  <c r="J35" i="5"/>
  <c r="M35" i="5"/>
  <c r="P35" i="5"/>
  <c r="S35" i="5"/>
  <c r="V35" i="5"/>
  <c r="Y35" i="5"/>
  <c r="AB35" i="5"/>
  <c r="AE35" i="5"/>
  <c r="AH35" i="5"/>
  <c r="AK35" i="5"/>
  <c r="AN35" i="5"/>
  <c r="AQ35" i="5"/>
  <c r="AT35" i="5"/>
  <c r="AW35" i="5"/>
  <c r="AZ35" i="5"/>
  <c r="BC35" i="5"/>
  <c r="BF35" i="5"/>
  <c r="BI35" i="5"/>
  <c r="BL35" i="5"/>
  <c r="BO35" i="5"/>
  <c r="BR35" i="5"/>
  <c r="BU35" i="5"/>
  <c r="BX35" i="5"/>
  <c r="CA35" i="5"/>
  <c r="CD35" i="5"/>
  <c r="CG35" i="5"/>
  <c r="CJ35" i="5"/>
  <c r="CM35" i="5"/>
  <c r="CP35" i="5"/>
  <c r="CS35" i="5"/>
  <c r="J36" i="5"/>
  <c r="M36" i="5"/>
  <c r="P36" i="5"/>
  <c r="S36" i="5"/>
  <c r="V36" i="5"/>
  <c r="Y36" i="5"/>
  <c r="AB36" i="5"/>
  <c r="AE36" i="5"/>
  <c r="AH36" i="5"/>
  <c r="AK36" i="5"/>
  <c r="AN36" i="5"/>
  <c r="AQ36" i="5"/>
  <c r="AT36" i="5"/>
  <c r="AW36" i="5"/>
  <c r="AZ36" i="5"/>
  <c r="BC36" i="5"/>
  <c r="BF36" i="5"/>
  <c r="BI36" i="5"/>
  <c r="BL36" i="5"/>
  <c r="BO36" i="5"/>
  <c r="BR36" i="5"/>
  <c r="BU36" i="5"/>
  <c r="BX36" i="5"/>
  <c r="CA36" i="5"/>
  <c r="CD36" i="5"/>
  <c r="CG36" i="5"/>
  <c r="CJ36" i="5"/>
  <c r="CM36" i="5"/>
  <c r="CP36" i="5"/>
  <c r="CS36" i="5"/>
  <c r="J37" i="5"/>
  <c r="M37" i="5"/>
  <c r="P37" i="5"/>
  <c r="S37" i="5"/>
  <c r="V37" i="5"/>
  <c r="Y37" i="5"/>
  <c r="AB37" i="5"/>
  <c r="AE37" i="5"/>
  <c r="AH37" i="5"/>
  <c r="AK37" i="5"/>
  <c r="AN37" i="5"/>
  <c r="AQ37" i="5"/>
  <c r="AT37" i="5"/>
  <c r="AW37" i="5"/>
  <c r="AZ37" i="5"/>
  <c r="BC37" i="5"/>
  <c r="BF37" i="5"/>
  <c r="BI37" i="5"/>
  <c r="BL37" i="5"/>
  <c r="BO37" i="5"/>
  <c r="BR37" i="5"/>
  <c r="BU37" i="5"/>
  <c r="BX37" i="5"/>
  <c r="CA37" i="5"/>
  <c r="CD37" i="5"/>
  <c r="CG37" i="5"/>
  <c r="CJ37" i="5"/>
  <c r="CM37" i="5"/>
  <c r="CP37" i="5"/>
  <c r="CS37" i="5"/>
  <c r="J38" i="5"/>
  <c r="M38" i="5"/>
  <c r="P38" i="5"/>
  <c r="S38" i="5"/>
  <c r="V38" i="5"/>
  <c r="Y38" i="5"/>
  <c r="AB38" i="5"/>
  <c r="AE38" i="5"/>
  <c r="AH38" i="5"/>
  <c r="AK38" i="5"/>
  <c r="AN38" i="5"/>
  <c r="AQ38" i="5"/>
  <c r="AT38" i="5"/>
  <c r="AW38" i="5"/>
  <c r="AZ38" i="5"/>
  <c r="BC38" i="5"/>
  <c r="BF38" i="5"/>
  <c r="BI38" i="5"/>
  <c r="BL38" i="5"/>
  <c r="BO38" i="5"/>
  <c r="BR38" i="5"/>
  <c r="BU38" i="5"/>
  <c r="BX38" i="5"/>
  <c r="CA38" i="5"/>
  <c r="CD38" i="5"/>
  <c r="CG38" i="5"/>
  <c r="CJ38" i="5"/>
  <c r="CM38" i="5"/>
  <c r="CP38" i="5"/>
  <c r="CS38" i="5"/>
  <c r="J39" i="5"/>
  <c r="M39" i="5"/>
  <c r="P39" i="5"/>
  <c r="S39" i="5"/>
  <c r="V39" i="5"/>
  <c r="Y39" i="5"/>
  <c r="AB39" i="5"/>
  <c r="AE39" i="5"/>
  <c r="AH39" i="5"/>
  <c r="AK39" i="5"/>
  <c r="AN39" i="5"/>
  <c r="AQ39" i="5"/>
  <c r="AT39" i="5"/>
  <c r="AW39" i="5"/>
  <c r="AZ39" i="5"/>
  <c r="BC39" i="5"/>
  <c r="BF39" i="5"/>
  <c r="BI39" i="5"/>
  <c r="BL39" i="5"/>
  <c r="BO39" i="5"/>
  <c r="BR39" i="5"/>
  <c r="BU39" i="5"/>
  <c r="BX39" i="5"/>
  <c r="CA39" i="5"/>
  <c r="CD39" i="5"/>
  <c r="CG39" i="5"/>
  <c r="CJ39" i="5"/>
  <c r="CM39" i="5"/>
  <c r="CP39" i="5"/>
  <c r="CS39" i="5"/>
  <c r="J40" i="5"/>
  <c r="M40" i="5"/>
  <c r="P40" i="5"/>
  <c r="S40" i="5"/>
  <c r="V40" i="5"/>
  <c r="Y40" i="5"/>
  <c r="AB40" i="5"/>
  <c r="AE40" i="5"/>
  <c r="AH40" i="5"/>
  <c r="AK40" i="5"/>
  <c r="AN40" i="5"/>
  <c r="AQ40" i="5"/>
  <c r="AT40" i="5"/>
  <c r="AW40" i="5"/>
  <c r="AZ40" i="5"/>
  <c r="BC40" i="5"/>
  <c r="BF40" i="5"/>
  <c r="BI40" i="5"/>
  <c r="BL40" i="5"/>
  <c r="BO40" i="5"/>
  <c r="BR40" i="5"/>
  <c r="BU40" i="5"/>
  <c r="BX40" i="5"/>
  <c r="CA40" i="5"/>
  <c r="CD40" i="5"/>
  <c r="CG40" i="5"/>
  <c r="CJ40" i="5"/>
  <c r="CM40" i="5"/>
  <c r="CP40" i="5"/>
  <c r="CS40" i="5"/>
  <c r="J41" i="5"/>
  <c r="M41" i="5"/>
  <c r="P41" i="5"/>
  <c r="S41" i="5"/>
  <c r="V41" i="5"/>
  <c r="Y41" i="5"/>
  <c r="AB41" i="5"/>
  <c r="AE41" i="5"/>
  <c r="AH41" i="5"/>
  <c r="AK41" i="5"/>
  <c r="AN41" i="5"/>
  <c r="AQ41" i="5"/>
  <c r="AT41" i="5"/>
  <c r="AW41" i="5"/>
  <c r="AZ41" i="5"/>
  <c r="BC41" i="5"/>
  <c r="BF41" i="5"/>
  <c r="BI41" i="5"/>
  <c r="BL41" i="5"/>
  <c r="BO41" i="5"/>
  <c r="BR41" i="5"/>
  <c r="BU41" i="5"/>
  <c r="BX41" i="5"/>
  <c r="CA41" i="5"/>
  <c r="CD41" i="5"/>
  <c r="CG41" i="5"/>
  <c r="CJ41" i="5"/>
  <c r="CM41" i="5"/>
  <c r="CP41" i="5"/>
  <c r="CS41" i="5"/>
  <c r="J42" i="5"/>
  <c r="M42" i="5"/>
  <c r="P42" i="5"/>
  <c r="S42" i="5"/>
  <c r="V42" i="5"/>
  <c r="Y42" i="5"/>
  <c r="AB42" i="5"/>
  <c r="AE42" i="5"/>
  <c r="AH42" i="5"/>
  <c r="AK42" i="5"/>
  <c r="AN42" i="5"/>
  <c r="AQ42" i="5"/>
  <c r="AT42" i="5"/>
  <c r="AW42" i="5"/>
  <c r="AZ42" i="5"/>
  <c r="BC42" i="5"/>
  <c r="BF42" i="5"/>
  <c r="BI42" i="5"/>
  <c r="BL42" i="5"/>
  <c r="BO42" i="5"/>
  <c r="BR42" i="5"/>
  <c r="BU42" i="5"/>
  <c r="BX42" i="5"/>
  <c r="CA42" i="5"/>
  <c r="CD42" i="5"/>
  <c r="CG42" i="5"/>
  <c r="CJ42" i="5"/>
  <c r="CM42" i="5"/>
  <c r="CP42" i="5"/>
  <c r="CS42" i="5"/>
  <c r="J43" i="5"/>
  <c r="M43" i="5"/>
  <c r="P43" i="5"/>
  <c r="S43" i="5"/>
  <c r="V43" i="5"/>
  <c r="Y43" i="5"/>
  <c r="AB43" i="5"/>
  <c r="AE43" i="5"/>
  <c r="AH43" i="5"/>
  <c r="AK43" i="5"/>
  <c r="AN43" i="5"/>
  <c r="AQ43" i="5"/>
  <c r="AT43" i="5"/>
  <c r="AW43" i="5"/>
  <c r="AZ43" i="5"/>
  <c r="BC43" i="5"/>
  <c r="BF43" i="5"/>
  <c r="BI43" i="5"/>
  <c r="BL43" i="5"/>
  <c r="BO43" i="5"/>
  <c r="BR43" i="5"/>
  <c r="BU43" i="5"/>
  <c r="BX43" i="5"/>
  <c r="CA43" i="5"/>
  <c r="CD43" i="5"/>
  <c r="CG43" i="5"/>
  <c r="CJ43" i="5"/>
  <c r="CM43" i="5"/>
  <c r="CP43" i="5"/>
  <c r="CS43" i="5"/>
  <c r="J44" i="5"/>
  <c r="M44" i="5"/>
  <c r="P44" i="5"/>
  <c r="S44" i="5"/>
  <c r="V44" i="5"/>
  <c r="Y44" i="5"/>
  <c r="AB44" i="5"/>
  <c r="AE44" i="5"/>
  <c r="AH44" i="5"/>
  <c r="AK44" i="5"/>
  <c r="AN44" i="5"/>
  <c r="AQ44" i="5"/>
  <c r="AT44" i="5"/>
  <c r="AW44" i="5"/>
  <c r="AZ44" i="5"/>
  <c r="BC44" i="5"/>
  <c r="BF44" i="5"/>
  <c r="BI44" i="5"/>
  <c r="BL44" i="5"/>
  <c r="BO44" i="5"/>
  <c r="BR44" i="5"/>
  <c r="BU44" i="5"/>
  <c r="BX44" i="5"/>
  <c r="CA44" i="5"/>
  <c r="CD44" i="5"/>
  <c r="CG44" i="5"/>
  <c r="CJ44" i="5"/>
  <c r="CM44" i="5"/>
  <c r="CP44" i="5"/>
  <c r="CS44" i="5"/>
  <c r="J45" i="5"/>
  <c r="M45" i="5"/>
  <c r="P45" i="5"/>
  <c r="S45" i="5"/>
  <c r="V45" i="5"/>
  <c r="Y45" i="5"/>
  <c r="AB45" i="5"/>
  <c r="AE45" i="5"/>
  <c r="AH45" i="5"/>
  <c r="AK45" i="5"/>
  <c r="AN45" i="5"/>
  <c r="AQ45" i="5"/>
  <c r="AT45" i="5"/>
  <c r="AW45" i="5"/>
  <c r="AZ45" i="5"/>
  <c r="BC45" i="5"/>
  <c r="BF45" i="5"/>
  <c r="BI45" i="5"/>
  <c r="BL45" i="5"/>
  <c r="BO45" i="5"/>
  <c r="BR45" i="5"/>
  <c r="BU45" i="5"/>
  <c r="BX45" i="5"/>
  <c r="CA45" i="5"/>
  <c r="CD45" i="5"/>
  <c r="CG45" i="5"/>
  <c r="CJ45" i="5"/>
  <c r="CM45" i="5"/>
  <c r="CP45" i="5"/>
  <c r="CS45" i="5"/>
  <c r="J46" i="5"/>
  <c r="M46" i="5"/>
  <c r="P46" i="5"/>
  <c r="S46" i="5"/>
  <c r="V46" i="5"/>
  <c r="Y46" i="5"/>
  <c r="AB46" i="5"/>
  <c r="AE46" i="5"/>
  <c r="AH46" i="5"/>
  <c r="AK46" i="5"/>
  <c r="AN46" i="5"/>
  <c r="AQ46" i="5"/>
  <c r="AT46" i="5"/>
  <c r="AW46" i="5"/>
  <c r="AZ46" i="5"/>
  <c r="BC46" i="5"/>
  <c r="BF46" i="5"/>
  <c r="BI46" i="5"/>
  <c r="BL46" i="5"/>
  <c r="BO46" i="5"/>
  <c r="BR46" i="5"/>
  <c r="BU46" i="5"/>
  <c r="BX46" i="5"/>
  <c r="CA46" i="5"/>
  <c r="CD46" i="5"/>
  <c r="CG46" i="5"/>
  <c r="CJ46" i="5"/>
  <c r="CM46" i="5"/>
  <c r="CP46" i="5"/>
  <c r="CS46" i="5"/>
  <c r="J47" i="5"/>
  <c r="M47" i="5"/>
  <c r="P47" i="5"/>
  <c r="S47" i="5"/>
  <c r="V47" i="5"/>
  <c r="Y47" i="5"/>
  <c r="AB47" i="5"/>
  <c r="AE47" i="5"/>
  <c r="AH47" i="5"/>
  <c r="AK47" i="5"/>
  <c r="AN47" i="5"/>
  <c r="AQ47" i="5"/>
  <c r="AT47" i="5"/>
  <c r="AW47" i="5"/>
  <c r="AZ47" i="5"/>
  <c r="BC47" i="5"/>
  <c r="BF47" i="5"/>
  <c r="BI47" i="5"/>
  <c r="BL47" i="5"/>
  <c r="BO47" i="5"/>
  <c r="BR47" i="5"/>
  <c r="BU47" i="5"/>
  <c r="BX47" i="5"/>
  <c r="CA47" i="5"/>
  <c r="CD47" i="5"/>
  <c r="CG47" i="5"/>
  <c r="CJ47" i="5"/>
  <c r="CM47" i="5"/>
  <c r="CP47" i="5"/>
  <c r="CS47" i="5"/>
  <c r="J48" i="5"/>
  <c r="M48" i="5"/>
  <c r="P48" i="5"/>
  <c r="S48" i="5"/>
  <c r="V48" i="5"/>
  <c r="Y48" i="5"/>
  <c r="AB48" i="5"/>
  <c r="AE48" i="5"/>
  <c r="AH48" i="5"/>
  <c r="AK48" i="5"/>
  <c r="AN48" i="5"/>
  <c r="AQ48" i="5"/>
  <c r="AT48" i="5"/>
  <c r="AW48" i="5"/>
  <c r="AZ48" i="5"/>
  <c r="BC48" i="5"/>
  <c r="BF48" i="5"/>
  <c r="BI48" i="5"/>
  <c r="BL48" i="5"/>
  <c r="BO48" i="5"/>
  <c r="BR48" i="5"/>
  <c r="BU48" i="5"/>
  <c r="BX48" i="5"/>
  <c r="CA48" i="5"/>
  <c r="CD48" i="5"/>
  <c r="CG48" i="5"/>
  <c r="CJ48" i="5"/>
  <c r="CM48" i="5"/>
  <c r="CP48" i="5"/>
  <c r="CS48" i="5"/>
  <c r="J49" i="5"/>
  <c r="M49" i="5"/>
  <c r="P49" i="5"/>
  <c r="S49" i="5"/>
  <c r="V49" i="5"/>
  <c r="Y49" i="5"/>
  <c r="AB49" i="5"/>
  <c r="AE49" i="5"/>
  <c r="AH49" i="5"/>
  <c r="AK49" i="5"/>
  <c r="AN49" i="5"/>
  <c r="AQ49" i="5"/>
  <c r="AT49" i="5"/>
  <c r="AW49" i="5"/>
  <c r="AZ49" i="5"/>
  <c r="BC49" i="5"/>
  <c r="BF49" i="5"/>
  <c r="BI49" i="5"/>
  <c r="BL49" i="5"/>
  <c r="BO49" i="5"/>
  <c r="BR49" i="5"/>
  <c r="BU49" i="5"/>
  <c r="BX49" i="5"/>
  <c r="CA49" i="5"/>
  <c r="CD49" i="5"/>
  <c r="CG49" i="5"/>
  <c r="CJ49" i="5"/>
  <c r="CM49" i="5"/>
  <c r="CP49" i="5"/>
  <c r="CS49" i="5"/>
  <c r="J50" i="5"/>
  <c r="M50" i="5"/>
  <c r="P50" i="5"/>
  <c r="S50" i="5"/>
  <c r="V50" i="5"/>
  <c r="Y50" i="5"/>
  <c r="AB50" i="5"/>
  <c r="AE50" i="5"/>
  <c r="AH50" i="5"/>
  <c r="AK50" i="5"/>
  <c r="AN50" i="5"/>
  <c r="AQ50" i="5"/>
  <c r="AT50" i="5"/>
  <c r="AW50" i="5"/>
  <c r="AZ50" i="5"/>
  <c r="BC50" i="5"/>
  <c r="BF50" i="5"/>
  <c r="BI50" i="5"/>
  <c r="BL50" i="5"/>
  <c r="BO50" i="5"/>
  <c r="BR50" i="5"/>
  <c r="BU50" i="5"/>
  <c r="BX50" i="5"/>
  <c r="CA50" i="5"/>
  <c r="CD50" i="5"/>
  <c r="CG50" i="5"/>
  <c r="CJ50" i="5"/>
  <c r="CM50" i="5"/>
  <c r="CP50" i="5"/>
  <c r="CS50" i="5"/>
  <c r="J51" i="5"/>
  <c r="M51" i="5"/>
  <c r="P51" i="5"/>
  <c r="S51" i="5"/>
  <c r="V51" i="5"/>
  <c r="Y51" i="5"/>
  <c r="AB51" i="5"/>
  <c r="AE51" i="5"/>
  <c r="AH51" i="5"/>
  <c r="AK51" i="5"/>
  <c r="AN51" i="5"/>
  <c r="AQ51" i="5"/>
  <c r="AT51" i="5"/>
  <c r="AW51" i="5"/>
  <c r="AZ51" i="5"/>
  <c r="BC51" i="5"/>
  <c r="BF51" i="5"/>
  <c r="BI51" i="5"/>
  <c r="BL51" i="5"/>
  <c r="BO51" i="5"/>
  <c r="BR51" i="5"/>
  <c r="BU51" i="5"/>
  <c r="BX51" i="5"/>
  <c r="CA51" i="5"/>
  <c r="CD51" i="5"/>
  <c r="CG51" i="5"/>
  <c r="CJ51" i="5"/>
  <c r="CM51" i="5"/>
  <c r="CP51" i="5"/>
  <c r="CS51" i="5"/>
  <c r="J52" i="5"/>
  <c r="M52" i="5"/>
  <c r="P52" i="5"/>
  <c r="S52" i="5"/>
  <c r="V52" i="5"/>
  <c r="Y52" i="5"/>
  <c r="AB52" i="5"/>
  <c r="AE52" i="5"/>
  <c r="AH52" i="5"/>
  <c r="AK52" i="5"/>
  <c r="AN52" i="5"/>
  <c r="AQ52" i="5"/>
  <c r="AT52" i="5"/>
  <c r="AW52" i="5"/>
  <c r="AZ52" i="5"/>
  <c r="BC52" i="5"/>
  <c r="BF52" i="5"/>
  <c r="BI52" i="5"/>
  <c r="BL52" i="5"/>
  <c r="BO52" i="5"/>
  <c r="BR52" i="5"/>
  <c r="BU52" i="5"/>
  <c r="BX52" i="5"/>
  <c r="CA52" i="5"/>
  <c r="CD52" i="5"/>
  <c r="CG52" i="5"/>
  <c r="CJ52" i="5"/>
  <c r="CM52" i="5"/>
  <c r="CP52" i="5"/>
  <c r="CS52" i="5"/>
  <c r="J53" i="5"/>
  <c r="M53" i="5"/>
  <c r="P53" i="5"/>
  <c r="S53" i="5"/>
  <c r="V53" i="5"/>
  <c r="Y53" i="5"/>
  <c r="AB53" i="5"/>
  <c r="AE53" i="5"/>
  <c r="AH53" i="5"/>
  <c r="AK53" i="5"/>
  <c r="AN53" i="5"/>
  <c r="AQ53" i="5"/>
  <c r="AT53" i="5"/>
  <c r="AW53" i="5"/>
  <c r="AZ53" i="5"/>
  <c r="BC53" i="5"/>
  <c r="BF53" i="5"/>
  <c r="BI53" i="5"/>
  <c r="BL53" i="5"/>
  <c r="BO53" i="5"/>
  <c r="BR53" i="5"/>
  <c r="BU53" i="5"/>
  <c r="BX53" i="5"/>
  <c r="CA53" i="5"/>
  <c r="CD53" i="5"/>
  <c r="CG53" i="5"/>
  <c r="CJ53" i="5"/>
  <c r="CM53" i="5"/>
  <c r="CP53" i="5"/>
  <c r="CS53" i="5"/>
  <c r="J54" i="5"/>
  <c r="M54" i="5"/>
  <c r="P54" i="5"/>
  <c r="S54" i="5"/>
  <c r="V54" i="5"/>
  <c r="Y54" i="5"/>
  <c r="AB54" i="5"/>
  <c r="AE54" i="5"/>
  <c r="AH54" i="5"/>
  <c r="AK54" i="5"/>
  <c r="AN54" i="5"/>
  <c r="AQ54" i="5"/>
  <c r="AT54" i="5"/>
  <c r="AW54" i="5"/>
  <c r="AZ54" i="5"/>
  <c r="BC54" i="5"/>
  <c r="BF54" i="5"/>
  <c r="BI54" i="5"/>
  <c r="BL54" i="5"/>
  <c r="BO54" i="5"/>
  <c r="BR54" i="5"/>
  <c r="BU54" i="5"/>
  <c r="BX54" i="5"/>
  <c r="CA54" i="5"/>
  <c r="CD54" i="5"/>
  <c r="CG54" i="5"/>
  <c r="CJ54" i="5"/>
  <c r="CM54" i="5"/>
  <c r="CP54" i="5"/>
  <c r="CS54" i="5"/>
  <c r="J55" i="5"/>
  <c r="M55" i="5"/>
  <c r="P55" i="5"/>
  <c r="S55" i="5"/>
  <c r="V55" i="5"/>
  <c r="Y55" i="5"/>
  <c r="AB55" i="5"/>
  <c r="AE55" i="5"/>
  <c r="AH55" i="5"/>
  <c r="AK55" i="5"/>
  <c r="AN55" i="5"/>
  <c r="AQ55" i="5"/>
  <c r="AT55" i="5"/>
  <c r="AW55" i="5"/>
  <c r="AZ55" i="5"/>
  <c r="BC55" i="5"/>
  <c r="BF55" i="5"/>
  <c r="BI55" i="5"/>
  <c r="BL55" i="5"/>
  <c r="BO55" i="5"/>
  <c r="BR55" i="5"/>
  <c r="BU55" i="5"/>
  <c r="BX55" i="5"/>
  <c r="CA55" i="5"/>
  <c r="CD55" i="5"/>
  <c r="CG55" i="5"/>
  <c r="CJ55" i="5"/>
  <c r="CM55" i="5"/>
  <c r="CP55" i="5"/>
  <c r="CS55" i="5"/>
  <c r="J56" i="5"/>
  <c r="M56" i="5"/>
  <c r="P56" i="5"/>
  <c r="S56" i="5"/>
  <c r="V56" i="5"/>
  <c r="Y56" i="5"/>
  <c r="AB56" i="5"/>
  <c r="AE56" i="5"/>
  <c r="AH56" i="5"/>
  <c r="AK56" i="5"/>
  <c r="AN56" i="5"/>
  <c r="AQ56" i="5"/>
  <c r="AT56" i="5"/>
  <c r="AW56" i="5"/>
  <c r="AZ56" i="5"/>
  <c r="BC56" i="5"/>
  <c r="BF56" i="5"/>
  <c r="BI56" i="5"/>
  <c r="BL56" i="5"/>
  <c r="BO56" i="5"/>
  <c r="BR56" i="5"/>
  <c r="BU56" i="5"/>
  <c r="BX56" i="5"/>
  <c r="CA56" i="5"/>
  <c r="CD56" i="5"/>
  <c r="CG56" i="5"/>
  <c r="CJ56" i="5"/>
  <c r="CM56" i="5"/>
  <c r="CP56" i="5"/>
  <c r="CS56" i="5"/>
  <c r="J57" i="5"/>
  <c r="M57" i="5"/>
  <c r="P57" i="5"/>
  <c r="S57" i="5"/>
  <c r="V57" i="5"/>
  <c r="Y57" i="5"/>
  <c r="AB57" i="5"/>
  <c r="AE57" i="5"/>
  <c r="AH57" i="5"/>
  <c r="AK57" i="5"/>
  <c r="AN57" i="5"/>
  <c r="AQ57" i="5"/>
  <c r="AT57" i="5"/>
  <c r="AW57" i="5"/>
  <c r="AZ57" i="5"/>
  <c r="BC57" i="5"/>
  <c r="BF57" i="5"/>
  <c r="BI57" i="5"/>
  <c r="BL57" i="5"/>
  <c r="BO57" i="5"/>
  <c r="BR57" i="5"/>
  <c r="BU57" i="5"/>
  <c r="BX57" i="5"/>
  <c r="CA57" i="5"/>
  <c r="CD57" i="5"/>
  <c r="CG57" i="5"/>
  <c r="CJ57" i="5"/>
  <c r="CM57" i="5"/>
  <c r="CP57" i="5"/>
  <c r="CS57" i="5"/>
  <c r="J58" i="5"/>
  <c r="M58" i="5"/>
  <c r="P58" i="5"/>
  <c r="S58" i="5"/>
  <c r="V58" i="5"/>
  <c r="Y58" i="5"/>
  <c r="AB58" i="5"/>
  <c r="AE58" i="5"/>
  <c r="AH58" i="5"/>
  <c r="AK58" i="5"/>
  <c r="AN58" i="5"/>
  <c r="AQ58" i="5"/>
  <c r="AT58" i="5"/>
  <c r="AW58" i="5"/>
  <c r="AZ58" i="5"/>
  <c r="BC58" i="5"/>
  <c r="BF58" i="5"/>
  <c r="BI58" i="5"/>
  <c r="BL58" i="5"/>
  <c r="BO58" i="5"/>
  <c r="BR58" i="5"/>
  <c r="BU58" i="5"/>
  <c r="BX58" i="5"/>
  <c r="CA58" i="5"/>
  <c r="CD58" i="5"/>
  <c r="CG58" i="5"/>
  <c r="CJ58" i="5"/>
  <c r="CM58" i="5"/>
  <c r="CP58" i="5"/>
  <c r="CS58" i="5"/>
  <c r="J59" i="5"/>
  <c r="M59" i="5"/>
  <c r="P59" i="5"/>
  <c r="S59" i="5"/>
  <c r="V59" i="5"/>
  <c r="Y59" i="5"/>
  <c r="AB59" i="5"/>
  <c r="AE59" i="5"/>
  <c r="AH59" i="5"/>
  <c r="AK59" i="5"/>
  <c r="AN59" i="5"/>
  <c r="AQ59" i="5"/>
  <c r="AT59" i="5"/>
  <c r="AW59" i="5"/>
  <c r="AZ59" i="5"/>
  <c r="BC59" i="5"/>
  <c r="BF59" i="5"/>
  <c r="BI59" i="5"/>
  <c r="BL59" i="5"/>
  <c r="BO59" i="5"/>
  <c r="BR59" i="5"/>
  <c r="BU59" i="5"/>
  <c r="BX59" i="5"/>
  <c r="CA59" i="5"/>
  <c r="CD59" i="5"/>
  <c r="CG59" i="5"/>
  <c r="CJ59" i="5"/>
  <c r="CM59" i="5"/>
  <c r="CP59" i="5"/>
  <c r="CS59" i="5"/>
  <c r="J60" i="5"/>
  <c r="M60" i="5"/>
  <c r="P60" i="5"/>
  <c r="S60" i="5"/>
  <c r="V60" i="5"/>
  <c r="Y60" i="5"/>
  <c r="AB60" i="5"/>
  <c r="AE60" i="5"/>
  <c r="AH60" i="5"/>
  <c r="AK60" i="5"/>
  <c r="AN60" i="5"/>
  <c r="AQ60" i="5"/>
  <c r="AT60" i="5"/>
  <c r="AW60" i="5"/>
  <c r="AZ60" i="5"/>
  <c r="BC60" i="5"/>
  <c r="BF60" i="5"/>
  <c r="BI60" i="5"/>
  <c r="BL60" i="5"/>
  <c r="BO60" i="5"/>
  <c r="BR60" i="5"/>
  <c r="BU60" i="5"/>
  <c r="BX60" i="5"/>
  <c r="CA60" i="5"/>
  <c r="CD60" i="5"/>
  <c r="CG60" i="5"/>
  <c r="CJ60" i="5"/>
  <c r="CM60" i="5"/>
  <c r="CP60" i="5"/>
  <c r="CS60" i="5"/>
  <c r="CS2" i="5"/>
  <c r="CP2" i="5"/>
  <c r="CM2" i="5"/>
  <c r="CJ2" i="5"/>
  <c r="CG2" i="5"/>
  <c r="CD2" i="5"/>
  <c r="CA2" i="5"/>
  <c r="BX2" i="5"/>
  <c r="BU2" i="5"/>
  <c r="BR2" i="5"/>
  <c r="BO2" i="5"/>
  <c r="BL2" i="5"/>
  <c r="BI2" i="5"/>
  <c r="BF2" i="5"/>
  <c r="BC2" i="5"/>
  <c r="AZ2" i="5"/>
  <c r="AW2" i="5"/>
  <c r="AT2" i="5"/>
  <c r="AQ2" i="5"/>
  <c r="AN2" i="5"/>
  <c r="AK2" i="5"/>
  <c r="AH2" i="5"/>
  <c r="AE2" i="5"/>
  <c r="AB2" i="5"/>
  <c r="Y2" i="5"/>
  <c r="V2" i="5"/>
  <c r="S2" i="5"/>
  <c r="P2" i="5"/>
  <c r="M2" i="5"/>
  <c r="J2" i="5"/>
  <c r="E4" i="4"/>
  <c r="C4" i="4"/>
  <c r="G4" i="4"/>
  <c r="G3" i="4"/>
  <c r="C3" i="4"/>
  <c r="F3" i="4" s="1"/>
  <c r="G2" i="4"/>
  <c r="C2" i="4"/>
  <c r="F2" i="4" s="1"/>
  <c r="F5" i="4" s="1"/>
  <c r="G3" i="2"/>
  <c r="G4" i="2"/>
  <c r="G5" i="2"/>
  <c r="H5" i="2" s="1"/>
  <c r="G6" i="2"/>
  <c r="H6" i="2" s="1"/>
  <c r="G2" i="2"/>
  <c r="C3" i="2"/>
  <c r="H3" i="2"/>
  <c r="I3" i="2"/>
  <c r="C4" i="2"/>
  <c r="I4" i="2"/>
  <c r="C5" i="2"/>
  <c r="I5" i="2"/>
  <c r="C6" i="2"/>
  <c r="I6" i="2"/>
  <c r="E2" i="2"/>
  <c r="I2" i="2"/>
  <c r="C2" i="2"/>
  <c r="G3" i="1"/>
  <c r="F3" i="1"/>
  <c r="G2" i="1"/>
  <c r="F2" i="1"/>
  <c r="E6" i="5" l="1"/>
  <c r="E56" i="5"/>
  <c r="E8" i="5"/>
  <c r="E16" i="5"/>
  <c r="E40" i="5"/>
  <c r="E24" i="5"/>
  <c r="E32" i="5"/>
  <c r="E48" i="5"/>
  <c r="D48" i="5" s="1"/>
  <c r="C48" i="6" s="1"/>
  <c r="D48" i="6" s="1"/>
  <c r="E48" i="6" s="1"/>
  <c r="E2" i="5"/>
  <c r="E55" i="5"/>
  <c r="E47" i="5"/>
  <c r="D47" i="5" s="1"/>
  <c r="C47" i="6" s="1"/>
  <c r="D47" i="6" s="1"/>
  <c r="E47" i="6" s="1"/>
  <c r="E39" i="5"/>
  <c r="E31" i="5"/>
  <c r="E23" i="5"/>
  <c r="E15" i="5"/>
  <c r="E7" i="5"/>
  <c r="D7" i="5" s="1"/>
  <c r="C7" i="6" s="1"/>
  <c r="D7" i="6" s="1"/>
  <c r="E7" i="6" s="1"/>
  <c r="E57" i="5"/>
  <c r="E49" i="5"/>
  <c r="E41" i="5"/>
  <c r="D41" i="5" s="1"/>
  <c r="C41" i="6" s="1"/>
  <c r="D41" i="6" s="1"/>
  <c r="E41" i="6" s="1"/>
  <c r="E33" i="5"/>
  <c r="E25" i="5"/>
  <c r="E17" i="5"/>
  <c r="E9" i="5"/>
  <c r="D9" i="5" s="1"/>
  <c r="C9" i="6" s="1"/>
  <c r="D9" i="6" s="1"/>
  <c r="E9" i="6" s="1"/>
  <c r="E58" i="5"/>
  <c r="D58" i="5" s="1"/>
  <c r="C58" i="6" s="1"/>
  <c r="D58" i="6" s="1"/>
  <c r="E58" i="6" s="1"/>
  <c r="E50" i="5"/>
  <c r="E42" i="5"/>
  <c r="E34" i="5"/>
  <c r="E26" i="5"/>
  <c r="E18" i="5"/>
  <c r="E10" i="5"/>
  <c r="E59" i="5"/>
  <c r="E51" i="5"/>
  <c r="D51" i="5" s="1"/>
  <c r="C51" i="6" s="1"/>
  <c r="D51" i="6" s="1"/>
  <c r="E51" i="6" s="1"/>
  <c r="E43" i="5"/>
  <c r="E35" i="5"/>
  <c r="E27" i="5"/>
  <c r="E19" i="5"/>
  <c r="E11" i="5"/>
  <c r="D11" i="5" s="1"/>
  <c r="C11" i="6" s="1"/>
  <c r="D11" i="6" s="1"/>
  <c r="E11" i="6" s="1"/>
  <c r="E3" i="5"/>
  <c r="D3" i="5" s="1"/>
  <c r="C3" i="6" s="1"/>
  <c r="D3" i="6" s="1"/>
  <c r="E3" i="6" s="1"/>
  <c r="E60" i="5"/>
  <c r="D60" i="5" s="1"/>
  <c r="C60" i="6" s="1"/>
  <c r="D60" i="6" s="1"/>
  <c r="E60" i="6" s="1"/>
  <c r="E52" i="5"/>
  <c r="D52" i="5" s="1"/>
  <c r="C52" i="6" s="1"/>
  <c r="D52" i="6" s="1"/>
  <c r="E52" i="6" s="1"/>
  <c r="E44" i="5"/>
  <c r="E36" i="5"/>
  <c r="E28" i="5"/>
  <c r="D28" i="5" s="1"/>
  <c r="C28" i="6" s="1"/>
  <c r="D28" i="6" s="1"/>
  <c r="E28" i="6" s="1"/>
  <c r="E20" i="5"/>
  <c r="E12" i="5"/>
  <c r="E4" i="5"/>
  <c r="E53" i="5"/>
  <c r="D53" i="5" s="1"/>
  <c r="C53" i="6" s="1"/>
  <c r="D53" i="6" s="1"/>
  <c r="E53" i="6" s="1"/>
  <c r="E45" i="5"/>
  <c r="D45" i="5" s="1"/>
  <c r="C45" i="6" s="1"/>
  <c r="D45" i="6" s="1"/>
  <c r="E45" i="6" s="1"/>
  <c r="E37" i="5"/>
  <c r="E29" i="5"/>
  <c r="E21" i="5"/>
  <c r="D21" i="5" s="1"/>
  <c r="C21" i="6" s="1"/>
  <c r="D21" i="6" s="1"/>
  <c r="E21" i="6" s="1"/>
  <c r="E13" i="5"/>
  <c r="E5" i="5"/>
  <c r="E54" i="5"/>
  <c r="E46" i="5"/>
  <c r="D46" i="5" s="1"/>
  <c r="C46" i="6" s="1"/>
  <c r="D46" i="6" s="1"/>
  <c r="E46" i="6" s="1"/>
  <c r="E38" i="5"/>
  <c r="D38" i="5" s="1"/>
  <c r="C38" i="6" s="1"/>
  <c r="D38" i="6" s="1"/>
  <c r="E38" i="6" s="1"/>
  <c r="E30" i="5"/>
  <c r="D30" i="5" s="1"/>
  <c r="C30" i="6" s="1"/>
  <c r="D30" i="6" s="1"/>
  <c r="E30" i="6" s="1"/>
  <c r="E22" i="5"/>
  <c r="E14" i="5"/>
  <c r="D14" i="5" s="1"/>
  <c r="C14" i="6" s="1"/>
  <c r="D14" i="6" s="1"/>
  <c r="E14" i="6" s="1"/>
  <c r="D19" i="5"/>
  <c r="C19" i="6" s="1"/>
  <c r="D19" i="6" s="1"/>
  <c r="E19" i="6" s="1"/>
  <c r="D55" i="5"/>
  <c r="C55" i="6" s="1"/>
  <c r="D55" i="6" s="1"/>
  <c r="E55" i="6" s="1"/>
  <c r="D42" i="5"/>
  <c r="C42" i="6" s="1"/>
  <c r="D42" i="6" s="1"/>
  <c r="E42" i="6" s="1"/>
  <c r="D39" i="5"/>
  <c r="C39" i="6" s="1"/>
  <c r="D39" i="6" s="1"/>
  <c r="E39" i="6" s="1"/>
  <c r="D35" i="5"/>
  <c r="C35" i="6" s="1"/>
  <c r="D35" i="6" s="1"/>
  <c r="E35" i="6" s="1"/>
  <c r="D32" i="5"/>
  <c r="C32" i="6" s="1"/>
  <c r="D32" i="6" s="1"/>
  <c r="E32" i="6" s="1"/>
  <c r="D27" i="5"/>
  <c r="C27" i="6" s="1"/>
  <c r="D27" i="6" s="1"/>
  <c r="E27" i="6" s="1"/>
  <c r="D26" i="5"/>
  <c r="C26" i="6" s="1"/>
  <c r="D26" i="6" s="1"/>
  <c r="E26" i="6" s="1"/>
  <c r="D24" i="5"/>
  <c r="C24" i="6" s="1"/>
  <c r="D24" i="6" s="1"/>
  <c r="E24" i="6" s="1"/>
  <c r="D23" i="5"/>
  <c r="C23" i="6" s="1"/>
  <c r="D23" i="6" s="1"/>
  <c r="E23" i="6" s="1"/>
  <c r="D22" i="5"/>
  <c r="C22" i="6" s="1"/>
  <c r="D22" i="6" s="1"/>
  <c r="E22" i="6" s="1"/>
  <c r="D20" i="5"/>
  <c r="C20" i="6" s="1"/>
  <c r="D20" i="6" s="1"/>
  <c r="E20" i="6" s="1"/>
  <c r="D18" i="5"/>
  <c r="C18" i="6" s="1"/>
  <c r="D18" i="6" s="1"/>
  <c r="E18" i="6" s="1"/>
  <c r="D16" i="5"/>
  <c r="C16" i="6" s="1"/>
  <c r="D16" i="6" s="1"/>
  <c r="E16" i="6" s="1"/>
  <c r="D15" i="5"/>
  <c r="C15" i="6" s="1"/>
  <c r="D15" i="6" s="1"/>
  <c r="E15" i="6" s="1"/>
  <c r="D12" i="5"/>
  <c r="C12" i="6" s="1"/>
  <c r="D12" i="6" s="1"/>
  <c r="E12" i="6" s="1"/>
  <c r="D10" i="5"/>
  <c r="C10" i="6" s="1"/>
  <c r="D10" i="6" s="1"/>
  <c r="E10" i="6" s="1"/>
  <c r="D8" i="5"/>
  <c r="C8" i="6" s="1"/>
  <c r="D8" i="6" s="1"/>
  <c r="E8" i="6" s="1"/>
  <c r="D6" i="5"/>
  <c r="C6" i="6" s="1"/>
  <c r="D6" i="6" s="1"/>
  <c r="E6" i="6" s="1"/>
  <c r="D4" i="5"/>
  <c r="C4" i="6" s="1"/>
  <c r="D4" i="6" s="1"/>
  <c r="E4" i="6" s="1"/>
  <c r="D57" i="5"/>
  <c r="C57" i="6" s="1"/>
  <c r="D57" i="6" s="1"/>
  <c r="E57" i="6" s="1"/>
  <c r="D49" i="5"/>
  <c r="C49" i="6" s="1"/>
  <c r="D49" i="6" s="1"/>
  <c r="E49" i="6" s="1"/>
  <c r="D33" i="5"/>
  <c r="C33" i="6" s="1"/>
  <c r="D33" i="6" s="1"/>
  <c r="E33" i="6" s="1"/>
  <c r="D25" i="5"/>
  <c r="C25" i="6" s="1"/>
  <c r="D25" i="6" s="1"/>
  <c r="E25" i="6" s="1"/>
  <c r="D17" i="5"/>
  <c r="C17" i="6" s="1"/>
  <c r="D17" i="6" s="1"/>
  <c r="E17" i="6" s="1"/>
  <c r="D54" i="5"/>
  <c r="C54" i="6" s="1"/>
  <c r="D54" i="6" s="1"/>
  <c r="E54" i="6" s="1"/>
  <c r="D50" i="5"/>
  <c r="C50" i="6" s="1"/>
  <c r="D50" i="6" s="1"/>
  <c r="E50" i="6" s="1"/>
  <c r="D44" i="5"/>
  <c r="C44" i="6" s="1"/>
  <c r="D44" i="6" s="1"/>
  <c r="E44" i="6" s="1"/>
  <c r="D36" i="5"/>
  <c r="C36" i="6" s="1"/>
  <c r="D36" i="6" s="1"/>
  <c r="E36" i="6" s="1"/>
  <c r="D59" i="5"/>
  <c r="C59" i="6" s="1"/>
  <c r="D59" i="6" s="1"/>
  <c r="E59" i="6" s="1"/>
  <c r="D43" i="5"/>
  <c r="C43" i="6" s="1"/>
  <c r="D43" i="6" s="1"/>
  <c r="E43" i="6" s="1"/>
  <c r="D40" i="5"/>
  <c r="C40" i="6" s="1"/>
  <c r="D40" i="6" s="1"/>
  <c r="E40" i="6" s="1"/>
  <c r="D34" i="5"/>
  <c r="C34" i="6" s="1"/>
  <c r="D34" i="6" s="1"/>
  <c r="E34" i="6" s="1"/>
  <c r="D31" i="5"/>
  <c r="C31" i="6" s="1"/>
  <c r="D31" i="6" s="1"/>
  <c r="E31" i="6" s="1"/>
  <c r="D13" i="5"/>
  <c r="C13" i="6" s="1"/>
  <c r="D13" i="6" s="1"/>
  <c r="E13" i="6" s="1"/>
  <c r="D5" i="5"/>
  <c r="C5" i="6" s="1"/>
  <c r="D5" i="6" s="1"/>
  <c r="E5" i="6" s="1"/>
  <c r="D56" i="5"/>
  <c r="C56" i="6" s="1"/>
  <c r="D56" i="6" s="1"/>
  <c r="E56" i="6" s="1"/>
  <c r="D37" i="5"/>
  <c r="C37" i="6" s="1"/>
  <c r="D37" i="6" s="1"/>
  <c r="E37" i="6" s="1"/>
  <c r="D29" i="5"/>
  <c r="C29" i="6" s="1"/>
  <c r="D29" i="6" s="1"/>
  <c r="E29" i="6" s="1"/>
  <c r="D2" i="5"/>
  <c r="C2" i="6" s="1"/>
  <c r="D2" i="6" s="1"/>
  <c r="E2" i="6" s="1"/>
  <c r="F4" i="4"/>
  <c r="H2" i="2"/>
  <c r="H4" i="2"/>
</calcChain>
</file>

<file path=xl/sharedStrings.xml><?xml version="1.0" encoding="utf-8"?>
<sst xmlns="http://schemas.openxmlformats.org/spreadsheetml/2006/main" count="227" uniqueCount="143">
  <si>
    <t>Nombre</t>
  </si>
  <si>
    <t>Cantidad</t>
  </si>
  <si>
    <t>Precio</t>
  </si>
  <si>
    <t>Precio Unitario</t>
  </si>
  <si>
    <t>Cleasing milk</t>
  </si>
  <si>
    <t>Id</t>
  </si>
  <si>
    <t>Ud medida</t>
  </si>
  <si>
    <t>ml</t>
  </si>
  <si>
    <t>Facial Tonic</t>
  </si>
  <si>
    <t>Ud</t>
  </si>
  <si>
    <t>Técnico</t>
  </si>
  <si>
    <t>Técnico Superior</t>
  </si>
  <si>
    <t>Encargado</t>
  </si>
  <si>
    <t>Enfermero</t>
  </si>
  <si>
    <t>Doctor</t>
  </si>
  <si>
    <t>minutos/mes</t>
  </si>
  <si>
    <t>Neto</t>
  </si>
  <si>
    <t>Coste para empresa</t>
  </si>
  <si>
    <t>Retenciones</t>
  </si>
  <si>
    <t>Local</t>
  </si>
  <si>
    <t>Consumos</t>
  </si>
  <si>
    <t>Consumibles</t>
  </si>
  <si>
    <t>Minutos</t>
  </si>
  <si>
    <t>Persona</t>
  </si>
  <si>
    <t>Producto 1</t>
  </si>
  <si>
    <t>Cantidad 1</t>
  </si>
  <si>
    <t>Producto 2</t>
  </si>
  <si>
    <t>Cantidad 2</t>
  </si>
  <si>
    <t>Producto 3</t>
  </si>
  <si>
    <t>Cantidad 3</t>
  </si>
  <si>
    <t>Producto 4</t>
  </si>
  <si>
    <t>Cantidad 4</t>
  </si>
  <si>
    <t>Producto 5</t>
  </si>
  <si>
    <t>Cantidad 5</t>
  </si>
  <si>
    <t>Producto 6</t>
  </si>
  <si>
    <t>Cantidad 6</t>
  </si>
  <si>
    <t>Producto 7</t>
  </si>
  <si>
    <t>Cantidad 7</t>
  </si>
  <si>
    <t>Producto 8</t>
  </si>
  <si>
    <t>Cantidad 8</t>
  </si>
  <si>
    <t>Producto 9</t>
  </si>
  <si>
    <t>Cantidad 9</t>
  </si>
  <si>
    <t>Producto 10</t>
  </si>
  <si>
    <t>Cantidad 10</t>
  </si>
  <si>
    <t>Producto 11</t>
  </si>
  <si>
    <t>Cantidad 11</t>
  </si>
  <si>
    <t>Producto 12</t>
  </si>
  <si>
    <t>Cantidad 12</t>
  </si>
  <si>
    <t>Producto 13</t>
  </si>
  <si>
    <t>Cantidad 13</t>
  </si>
  <si>
    <t>Producto 14</t>
  </si>
  <si>
    <t>Cantidad 14</t>
  </si>
  <si>
    <t>Producto 15</t>
  </si>
  <si>
    <t>Cantidad 15</t>
  </si>
  <si>
    <t>Producto 16</t>
  </si>
  <si>
    <t>Cantidad 16</t>
  </si>
  <si>
    <t>Producto 17</t>
  </si>
  <si>
    <t>Cantidad 17</t>
  </si>
  <si>
    <t>Producto 18</t>
  </si>
  <si>
    <t>Cantidad 18</t>
  </si>
  <si>
    <t>Producto 19</t>
  </si>
  <si>
    <t>Cantidad 19</t>
  </si>
  <si>
    <t>Producto 20</t>
  </si>
  <si>
    <t>Cantidad 20</t>
  </si>
  <si>
    <t>Producto 21</t>
  </si>
  <si>
    <t>Cantidad 21</t>
  </si>
  <si>
    <t>Producto 22</t>
  </si>
  <si>
    <t>Cantidad 22</t>
  </si>
  <si>
    <t>Producto 23</t>
  </si>
  <si>
    <t>Cantidad 23</t>
  </si>
  <si>
    <t>Producto 24</t>
  </si>
  <si>
    <t>Cantidad 24</t>
  </si>
  <si>
    <t>Producto 25</t>
  </si>
  <si>
    <t>Cantidad 25</t>
  </si>
  <si>
    <t>Producto 26</t>
  </si>
  <si>
    <t>Cantidad 26</t>
  </si>
  <si>
    <t>Producto 27</t>
  </si>
  <si>
    <t>Cantidad 27</t>
  </si>
  <si>
    <t>Producto 28</t>
  </si>
  <si>
    <t>Cantidad 28</t>
  </si>
  <si>
    <t>Producto 29</t>
  </si>
  <si>
    <t>Cantidad 29</t>
  </si>
  <si>
    <t>Producto 30</t>
  </si>
  <si>
    <t>Cantidad 30</t>
  </si>
  <si>
    <t>Coste 1</t>
  </si>
  <si>
    <t>Coste 2</t>
  </si>
  <si>
    <t>Coste 3</t>
  </si>
  <si>
    <t>Coste 4</t>
  </si>
  <si>
    <t>Coste 5</t>
  </si>
  <si>
    <t>Coste 6</t>
  </si>
  <si>
    <t>Coste 7</t>
  </si>
  <si>
    <t>Coste 8</t>
  </si>
  <si>
    <t>Coste 9</t>
  </si>
  <si>
    <t>Coste 10</t>
  </si>
  <si>
    <t>Coste 11</t>
  </si>
  <si>
    <t>Coste 12</t>
  </si>
  <si>
    <t>Coste 13</t>
  </si>
  <si>
    <t>Coste 14</t>
  </si>
  <si>
    <t>Coste 15</t>
  </si>
  <si>
    <t>Coste 16</t>
  </si>
  <si>
    <t>Coste 17</t>
  </si>
  <si>
    <t>Coste 18</t>
  </si>
  <si>
    <t>Coste 19</t>
  </si>
  <si>
    <t>Coste 20</t>
  </si>
  <si>
    <t>Coste 21</t>
  </si>
  <si>
    <t>Coste 22</t>
  </si>
  <si>
    <t>Coste 23</t>
  </si>
  <si>
    <t>Coste 24</t>
  </si>
  <si>
    <t>Coste 25</t>
  </si>
  <si>
    <t>Coste 26</t>
  </si>
  <si>
    <t>Coste 27</t>
  </si>
  <si>
    <t>Coste 28</t>
  </si>
  <si>
    <t>Coste 29</t>
  </si>
  <si>
    <t>Coste 30</t>
  </si>
  <si>
    <t>Coste Persona</t>
  </si>
  <si>
    <t>Gastos Generales</t>
  </si>
  <si>
    <t>Servicio</t>
  </si>
  <si>
    <t>Prueba</t>
  </si>
  <si>
    <t>Total</t>
  </si>
  <si>
    <t>Salycili Removing</t>
  </si>
  <si>
    <t>Lifting Peeling</t>
  </si>
  <si>
    <t>Neutralizante</t>
  </si>
  <si>
    <t>Aceite de Argán</t>
  </si>
  <si>
    <t>Colagen Mask</t>
  </si>
  <si>
    <t>Cleasing Milk</t>
  </si>
  <si>
    <t>HydraFace</t>
  </si>
  <si>
    <t>Protección Solar</t>
  </si>
  <si>
    <t>ud</t>
  </si>
  <si>
    <t>Escandallo Total</t>
  </si>
  <si>
    <t>IVA</t>
  </si>
  <si>
    <t>Beneficio</t>
  </si>
  <si>
    <t>PVR</t>
  </si>
  <si>
    <t>Oxigel</t>
  </si>
  <si>
    <t>Gamma lift</t>
  </si>
  <si>
    <t>Chloro Antiox</t>
  </si>
  <si>
    <t>Silicon organic</t>
  </si>
  <si>
    <t>DMAE</t>
  </si>
  <si>
    <t>Laureth</t>
  </si>
  <si>
    <t>Collagen Pyruvate</t>
  </si>
  <si>
    <t>Dexpanthenol</t>
  </si>
  <si>
    <t>ADN</t>
  </si>
  <si>
    <t>Recambios pen</t>
  </si>
  <si>
    <t>Mesodermolifting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</si>
</sst>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47"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/>
      </font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 val="0"/>
      </font>
      <numFmt numFmtId="164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210DD0-3A49-452A-8965-97963339343D}" name="Tabla57" displayName="Tabla57" ref="A1:F60" totalsRowShown="0">
  <autoFilter ref="A1:F60" xr:uid="{034ACA4B-3BDF-4777-A64B-DE3268D3ACDB}"/>
  <tableColumns count="6">
    <tableColumn id="1" xr3:uid="{97C4C37C-DCF1-4D2C-BC20-494520D0A8E4}" name="Id"/>
    <tableColumn id="2" xr3:uid="{9CCD2644-5F69-4FF8-9369-9DB3CC27229F}" name="Servicio">
      <calculatedColumnFormula>VLOOKUP(Tabla57[[#This Row],[Id]],Tabla5[[Id]:[Escandallo Total]],2,FALSE)</calculatedColumnFormula>
    </tableColumn>
    <tableColumn id="4" xr3:uid="{54B5194B-086C-4273-8B01-FF0624A01D5F}" name="Escandallo Total" dataDxfId="46">
      <calculatedColumnFormula>VLOOKUP(Tabla57[[#This Row],[Id]],Tabla5[[Id]:[Escandallo Total]],4,FALSE)</calculatedColumnFormula>
    </tableColumn>
    <tableColumn id="100" xr3:uid="{D17C4A85-1B97-413A-BE98-71EF0E89BA3F}" name="Beneficio" dataDxfId="45">
      <calculatedColumnFormula>Tabla57[[#This Row],[Escandallo Total]]*Datos!$B$2+Tabla57[[#This Row],[Escandallo Total]]</calculatedColumnFormula>
    </tableColumn>
    <tableColumn id="101" xr3:uid="{28DB2C21-3421-494F-98C0-CB6146212FD6}" name="IVA" dataDxfId="44">
      <calculatedColumnFormula>Tabla57[[#This Row],[Beneficio]]*Datos!$B$1+Tabla57[[#This Row],[Beneficio]]</calculatedColumnFormula>
    </tableColumn>
    <tableColumn id="102" xr3:uid="{AFC391FA-CF79-4D93-BB09-8CBE53A4B854}" name="PVR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4ACA4B-3BDF-4777-A64B-DE3268D3ACDB}" name="Tabla5" displayName="Tabla5" ref="A1:CS60" totalsRowShown="0">
  <autoFilter ref="A1:CS60" xr:uid="{034ACA4B-3BDF-4777-A64B-DE3268D3ACDB}"/>
  <tableColumns count="97">
    <tableColumn id="1" xr3:uid="{8998C78E-FE72-4697-8D61-72E7D53994E6}" name="Id"/>
    <tableColumn id="2" xr3:uid="{51B5B986-6335-469F-B108-597DF54735C8}" name="Servicio"/>
    <tableColumn id="3" xr3:uid="{6768EA3C-9A00-44BC-B347-75019CFF3858}" name="Minutos"/>
    <tableColumn id="4" xr3:uid="{B8B31D0E-90DF-4A03-8FE0-88F6DBA09D59}" name="Escandallo Total" dataDxfId="43">
      <calculatedColumnFormula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calculatedColumnFormula>
    </tableColumn>
    <tableColumn id="5" xr3:uid="{E31FC789-CBB1-41EA-9C31-0DF5D24C60AA}" name="Gastos Generales" dataDxfId="42">
      <calculatedColumnFormula>Tabla5[[#This Row],[Minutos]]*Tabla13[[#Totals],[Precio Unitario]]</calculatedColumnFormula>
    </tableColumn>
    <tableColumn id="6" xr3:uid="{0F1902C3-9BBC-4266-9ADD-8AB1806A7655}" name="Persona"/>
    <tableColumn id="7" xr3:uid="{5832D0B3-BE1A-47C1-82C9-9E7A89249930}" name="Coste Persona" dataDxfId="41">
      <calculatedColumnFormula>IFERROR(VLOOKUP(Tabla5[[#This Row],[Persona]],Tabla1[[Nombre]:[Ud]],7,FALSE) *Tabla5[[#This Row],[Minutos]],0)</calculatedColumnFormula>
    </tableColumn>
    <tableColumn id="8" xr3:uid="{D24C6880-0DF4-4B91-B6AD-4ED766D54251}" name="Producto 1"/>
    <tableColumn id="9" xr3:uid="{90AEACCF-8688-45DA-B1B6-BFB056330285}" name="Cantidad 1"/>
    <tableColumn id="10" xr3:uid="{C56677DF-7B3C-4FF6-A416-68E62BFB2D45}" name="Coste 1" dataDxfId="40">
      <calculatedColumnFormula>IFERROR(VLOOKUP(Tabla5[[#This Row],[Producto 1]],Tabla3[[Nombre]:[Ud]],5,FALSE)*Tabla5[[#This Row],[Cantidad 1]],0)</calculatedColumnFormula>
    </tableColumn>
    <tableColumn id="11" xr3:uid="{D4BE8085-3AC9-483B-9BA9-FB3B6CA8C390}" name="Producto 2"/>
    <tableColumn id="12" xr3:uid="{DDD537E2-2F5C-4A2E-BC37-D681A8861B99}" name="Cantidad 2"/>
    <tableColumn id="13" xr3:uid="{D89CBC93-4A1B-4AED-80F7-7A0580D45E4F}" name="Coste 2" dataDxfId="39">
      <calculatedColumnFormula>IFERROR(VLOOKUP(Tabla5[[#This Row],[Producto 2]],Tabla3[[Nombre]:[Ud]],5,FALSE)*Tabla5[[#This Row],[Cantidad 2]],0)</calculatedColumnFormula>
    </tableColumn>
    <tableColumn id="14" xr3:uid="{2D36A444-514B-48B9-9355-F37C2CC3964B}" name="Producto 3"/>
    <tableColumn id="15" xr3:uid="{076BE1BA-A6DA-42E4-B671-535DEF36A93B}" name="Cantidad 3"/>
    <tableColumn id="16" xr3:uid="{AA205BDC-91C4-4AC8-9414-DD9928DFC8F8}" name="Coste 3" dataDxfId="38">
      <calculatedColumnFormula>IFERROR(VLOOKUP(Tabla5[[#This Row],[Producto 3]],Tabla3[[Nombre]:[Ud]],5,FALSE)*Tabla5[[#This Row],[Cantidad 3]],0)</calculatedColumnFormula>
    </tableColumn>
    <tableColumn id="17" xr3:uid="{56294E03-0C9F-4185-AD18-9873D602516B}" name="Producto 4"/>
    <tableColumn id="18" xr3:uid="{4DB4FA9A-7D62-49EB-9177-39034B544084}" name="Cantidad 4"/>
    <tableColumn id="19" xr3:uid="{4EB81509-9AE5-4D66-90C5-60C42501796F}" name="Coste 4" dataDxfId="37">
      <calculatedColumnFormula>IFERROR(VLOOKUP(Tabla5[[#This Row],[Producto 4]],Tabla3[[Nombre]:[Ud]],5,FALSE)*Tabla5[[#This Row],[Cantidad 4]],0)</calculatedColumnFormula>
    </tableColumn>
    <tableColumn id="20" xr3:uid="{4130E092-C525-488E-85D8-E4B585466F9E}" name="Producto 5"/>
    <tableColumn id="21" xr3:uid="{66D8571A-0B71-43E9-B0A4-6E7751BC3946}" name="Cantidad 5"/>
    <tableColumn id="22" xr3:uid="{090C783A-D614-4675-9488-2B2279809A1C}" name="Coste 5" dataDxfId="36">
      <calculatedColumnFormula>IFERROR(VLOOKUP(Tabla5[[#This Row],[Producto 5]],Tabla3[[Nombre]:[Ud]],5,FALSE)*Tabla5[[#This Row],[Cantidad 5]],0)</calculatedColumnFormula>
    </tableColumn>
    <tableColumn id="23" xr3:uid="{FDE76C50-9BB8-44A8-9F34-30A08F7E73D9}" name="Producto 6"/>
    <tableColumn id="24" xr3:uid="{9685EE7F-D587-4ADF-A0B9-AA610DA9F480}" name="Cantidad 6"/>
    <tableColumn id="25" xr3:uid="{C7C2A551-9415-40B7-A50E-D52B23A3C5DC}" name="Coste 6" dataDxfId="35">
      <calculatedColumnFormula>IFERROR(VLOOKUP(Tabla5[[#This Row],[Producto 6]],Tabla3[[Nombre]:[Ud]],5,FALSE)*Tabla5[[#This Row],[Cantidad 6]],0)</calculatedColumnFormula>
    </tableColumn>
    <tableColumn id="26" xr3:uid="{70797DEE-9A0E-4B3C-8B89-5002798A4C8A}" name="Producto 7"/>
    <tableColumn id="27" xr3:uid="{8BF6F885-04DB-4F39-9F96-E2757203BC2A}" name="Cantidad 7"/>
    <tableColumn id="28" xr3:uid="{87C7AC5D-7DD3-43EF-9074-C619FDD2092A}" name="Coste 7" dataDxfId="34">
      <calculatedColumnFormula>IFERROR(VLOOKUP(Tabla5[[#This Row],[Producto 7]],Tabla3[[Nombre]:[Ud]],5,FALSE)*Tabla5[[#This Row],[Cantidad 7]],0)</calculatedColumnFormula>
    </tableColumn>
    <tableColumn id="29" xr3:uid="{38869700-7814-4407-A8D8-CAC8D3A66302}" name="Producto 8"/>
    <tableColumn id="30" xr3:uid="{1D22311C-DD06-4D33-95EC-997EF0CD7E69}" name="Cantidad 8"/>
    <tableColumn id="31" xr3:uid="{760B0FAA-02AF-4856-B0CC-73CB65520B10}" name="Coste 8" dataDxfId="33">
      <calculatedColumnFormula>IFERROR(VLOOKUP(Tabla5[[#This Row],[Producto 8]],Tabla3[[Nombre]:[Ud]],5,FALSE)*Tabla5[[#This Row],[Cantidad 8]],0)</calculatedColumnFormula>
    </tableColumn>
    <tableColumn id="32" xr3:uid="{71FFDC34-FF02-4F6A-9F26-A9585E37A02D}" name="Producto 9"/>
    <tableColumn id="33" xr3:uid="{4071E2E2-4562-4789-AABA-1C8821E49293}" name="Cantidad 9"/>
    <tableColumn id="34" xr3:uid="{6C73FDC3-02DA-4872-975A-5125871A398D}" name="Coste 9" dataDxfId="32">
      <calculatedColumnFormula>IFERROR(VLOOKUP(Tabla5[[#This Row],[Producto 9]],Tabla3[[Nombre]:[Ud]],5,FALSE)*Tabla5[[#This Row],[Cantidad 9]],0)</calculatedColumnFormula>
    </tableColumn>
    <tableColumn id="35" xr3:uid="{D9859502-97AE-4C3E-A793-648C65E8EC1B}" name="Producto 10"/>
    <tableColumn id="36" xr3:uid="{21DC7619-FB1B-4EED-AE01-CA3E5B1EF994}" name="Cantidad 10"/>
    <tableColumn id="37" xr3:uid="{1817A643-B8E3-4979-88DD-E91DAEA6495F}" name="Coste 10" dataDxfId="31">
      <calculatedColumnFormula>IFERROR(VLOOKUP(Tabla5[[#This Row],[Producto 10]],Tabla3[[Nombre]:[Ud]],5,FALSE)*Tabla5[[#This Row],[Cantidad 10]],0)</calculatedColumnFormula>
    </tableColumn>
    <tableColumn id="38" xr3:uid="{100C886A-AB87-4754-BFC0-8D3DD67DC645}" name="Producto 11"/>
    <tableColumn id="39" xr3:uid="{8D9FAD9C-4FA4-4A03-BDA1-D680ECA96075}" name="Cantidad 11"/>
    <tableColumn id="40" xr3:uid="{67A7BD4F-89D1-4E7F-8ADA-669DF0B6052D}" name="Coste 11" dataDxfId="30">
      <calculatedColumnFormula>IFERROR(VLOOKUP(Tabla5[[#This Row],[Producto 11]],Tabla3[[Nombre]:[Ud]],5,FALSE)*Tabla5[[#This Row],[Cantidad 11]],0)</calculatedColumnFormula>
    </tableColumn>
    <tableColumn id="41" xr3:uid="{1EB0CABF-A69D-4398-B135-50CC1D1663A0}" name="Producto 12"/>
    <tableColumn id="42" xr3:uid="{16A13B7F-D11B-494B-BBA2-D3F907560B24}" name="Cantidad 12"/>
    <tableColumn id="43" xr3:uid="{14828B98-1FF1-450D-9FF1-ED12624C81E0}" name="Coste 12" dataDxfId="29">
      <calculatedColumnFormula>IFERROR(VLOOKUP(Tabla5[[#This Row],[Producto 12]],Tabla3[[Nombre]:[Ud]],5,FALSE)*Tabla5[[#This Row],[Cantidad 12]],0)</calculatedColumnFormula>
    </tableColumn>
    <tableColumn id="44" xr3:uid="{C0DE19FE-24B9-42E6-A0EF-C5ED15425A7E}" name="Producto 13"/>
    <tableColumn id="45" xr3:uid="{4F9B93EE-1FB7-432C-B9C2-9AB417F5BEA2}" name="Cantidad 13"/>
    <tableColumn id="46" xr3:uid="{29071916-FDC1-40D4-BF48-DA63DAEAC6F1}" name="Coste 13" dataDxfId="28">
      <calculatedColumnFormula>IFERROR(VLOOKUP(Tabla5[[#This Row],[Producto 13]],Tabla3[[Nombre]:[Ud]],5,FALSE)*Tabla5[[#This Row],[Cantidad 13]],0)</calculatedColumnFormula>
    </tableColumn>
    <tableColumn id="47" xr3:uid="{C5E4CC30-0EC7-494B-917F-B7C9059D44CF}" name="Producto 14"/>
    <tableColumn id="48" xr3:uid="{27B2581A-47AB-420B-B388-5227842F0CA1}" name="Cantidad 14"/>
    <tableColumn id="49" xr3:uid="{A9173255-BB29-430D-8ECC-A602147D02FD}" name="Coste 14" dataDxfId="27">
      <calculatedColumnFormula>IFERROR(VLOOKUP(Tabla5[[#This Row],[Producto 14]],Tabla3[[Nombre]:[Ud]],5,FALSE)*Tabla5[[#This Row],[Cantidad 14]],0)</calculatedColumnFormula>
    </tableColumn>
    <tableColumn id="50" xr3:uid="{1627586B-9A45-4098-A745-EA7AEC5607F6}" name="Producto 15"/>
    <tableColumn id="51" xr3:uid="{26F529E0-E844-4064-B494-998F52F3B602}" name="Cantidad 15"/>
    <tableColumn id="52" xr3:uid="{51A0E423-B7F0-4DF3-AB82-9100FE6CE04F}" name="Coste 15" dataDxfId="26">
      <calculatedColumnFormula>IFERROR(VLOOKUP(Tabla5[[#This Row],[Producto 15]],Tabla3[[Nombre]:[Ud]],5,FALSE)*Tabla5[[#This Row],[Cantidad 15]],0)</calculatedColumnFormula>
    </tableColumn>
    <tableColumn id="53" xr3:uid="{E384CD79-FEAE-4919-99D0-C29E6EE067FF}" name="Producto 16"/>
    <tableColumn id="54" xr3:uid="{2A3C0D28-F43F-4127-A517-1C875EB46A08}" name="Cantidad 16"/>
    <tableColumn id="55" xr3:uid="{8927722E-DB66-494F-A9E7-FB4CF29B9809}" name="Coste 16" dataDxfId="25">
      <calculatedColumnFormula>IFERROR(VLOOKUP(Tabla5[[#This Row],[Producto 16]],Tabla3[[Nombre]:[Ud]],5,FALSE)*Tabla5[[#This Row],[Cantidad 16]],0)</calculatedColumnFormula>
    </tableColumn>
    <tableColumn id="56" xr3:uid="{99E0FDCB-A9C1-41C5-87F8-E25C5551F2F6}" name="Producto 17"/>
    <tableColumn id="57" xr3:uid="{753D0F84-6535-46A3-BFE5-F5791A2291A3}" name="Cantidad 17"/>
    <tableColumn id="58" xr3:uid="{6E3891AA-DC71-425E-B4C6-C654DD25D45C}" name="Coste 17" dataDxfId="24">
      <calculatedColumnFormula>IFERROR(VLOOKUP(Tabla5[[#This Row],[Producto 17]],Tabla3[[Nombre]:[Ud]],5,FALSE)*Tabla5[[#This Row],[Cantidad 17]],0)</calculatedColumnFormula>
    </tableColumn>
    <tableColumn id="59" xr3:uid="{8F625E05-0273-49D9-95D8-3E6FCF06A102}" name="Producto 18"/>
    <tableColumn id="60" xr3:uid="{64533B16-AD1A-4168-9D5F-1891ABB4CD7C}" name="Cantidad 18"/>
    <tableColumn id="61" xr3:uid="{A87D17E4-45A5-4FE3-AD57-1EDF6A9B04AB}" name="Coste 18" dataDxfId="23">
      <calculatedColumnFormula>IFERROR(VLOOKUP(Tabla5[[#This Row],[Producto 18]],Tabla3[[Nombre]:[Ud]],5,FALSE)*Tabla5[[#This Row],[Cantidad 18]],0)</calculatedColumnFormula>
    </tableColumn>
    <tableColumn id="62" xr3:uid="{841B0AAB-A646-4EE5-B24D-CA7457FD4105}" name="Producto 19"/>
    <tableColumn id="63" xr3:uid="{4642B42C-F568-473C-9028-EC0B42329481}" name="Cantidad 19"/>
    <tableColumn id="64" xr3:uid="{3E162AD1-D725-41FA-AC5A-12B8EAE0591D}" name="Coste 19" dataDxfId="22">
      <calculatedColumnFormula>IFERROR(VLOOKUP(Tabla5[[#This Row],[Producto 19]],Tabla3[[Nombre]:[Ud]],5,FALSE)*Tabla5[[#This Row],[Cantidad 19]],0)</calculatedColumnFormula>
    </tableColumn>
    <tableColumn id="65" xr3:uid="{1CDCD93F-61E5-43FC-A501-D22AED3F5987}" name="Producto 20"/>
    <tableColumn id="66" xr3:uid="{49429C3C-8711-4F5A-BBE6-0E646DC8F223}" name="Cantidad 20"/>
    <tableColumn id="67" xr3:uid="{C3E43CB6-64A7-477A-B7B0-80EC75763050}" name="Coste 20" dataDxfId="21">
      <calculatedColumnFormula>IFERROR(VLOOKUP(Tabla5[[#This Row],[Producto 20]],Tabla3[[Nombre]:[Ud]],5,FALSE)*Tabla5[[#This Row],[Cantidad 20]],0)</calculatedColumnFormula>
    </tableColumn>
    <tableColumn id="68" xr3:uid="{B3239AC5-4484-4FE4-A168-2C9CB8004265}" name="Producto 21"/>
    <tableColumn id="69" xr3:uid="{95B8B7F2-1821-4628-8D32-A73346CBE163}" name="Cantidad 21"/>
    <tableColumn id="70" xr3:uid="{ACD263C4-C80E-4ED2-97EF-F69E6ACCD4E8}" name="Coste 21" dataDxfId="20">
      <calculatedColumnFormula>IFERROR(VLOOKUP(Tabla5[[#This Row],[Producto 21]],Tabla3[[Nombre]:[Ud]],5,FALSE)*Tabla5[[#This Row],[Cantidad 21]],0)</calculatedColumnFormula>
    </tableColumn>
    <tableColumn id="71" xr3:uid="{D04AB3C6-D48E-47AD-A4D1-5ADD432B76FE}" name="Producto 22"/>
    <tableColumn id="72" xr3:uid="{B62C2905-375A-4638-BB6D-29DACDFF0211}" name="Cantidad 22"/>
    <tableColumn id="73" xr3:uid="{18972C41-AD07-463A-819A-663FA9354753}" name="Coste 22" dataDxfId="19">
      <calculatedColumnFormula>IFERROR(VLOOKUP(Tabla5[[#This Row],[Producto 22]],Tabla3[[Nombre]:[Ud]],5,FALSE)*Tabla5[[#This Row],[Cantidad 22]],0)</calculatedColumnFormula>
    </tableColumn>
    <tableColumn id="74" xr3:uid="{426BC8DB-C9F6-481D-A76D-6F4A20995714}" name="Producto 23"/>
    <tableColumn id="75" xr3:uid="{5450B4CB-3D1C-4F76-B9AC-6E90E24C833E}" name="Cantidad 23"/>
    <tableColumn id="76" xr3:uid="{75633A58-E399-4BB0-ABE5-6B01210B779D}" name="Coste 23" dataDxfId="18">
      <calculatedColumnFormula>IFERROR(VLOOKUP(Tabla5[[#This Row],[Producto 23]],Tabla3[[Nombre]:[Ud]],5,FALSE)*Tabla5[[#This Row],[Cantidad 23]],0)</calculatedColumnFormula>
    </tableColumn>
    <tableColumn id="77" xr3:uid="{6BC42C81-B780-4F57-A535-D38F7F1C56DF}" name="Producto 24"/>
    <tableColumn id="78" xr3:uid="{AE2EB172-035D-479D-A634-D0BD08B69129}" name="Cantidad 24"/>
    <tableColumn id="79" xr3:uid="{9E90AB11-9DCA-4E87-97C6-21723FCE5139}" name="Coste 24" dataDxfId="17">
      <calculatedColumnFormula>IFERROR(VLOOKUP(Tabla5[[#This Row],[Producto 24]],Tabla3[[Nombre]:[Ud]],5,FALSE)*Tabla5[[#This Row],[Cantidad 24]],0)</calculatedColumnFormula>
    </tableColumn>
    <tableColumn id="80" xr3:uid="{06C80694-ECF2-456A-95A2-CEFACF663F09}" name="Producto 25"/>
    <tableColumn id="81" xr3:uid="{E53EA640-3748-4055-9541-4FE1D4AFC33F}" name="Cantidad 25"/>
    <tableColumn id="82" xr3:uid="{DE47F4CB-496E-40B2-B489-A56DDB76D98A}" name="Coste 25" dataDxfId="16">
      <calculatedColumnFormula>IFERROR(VLOOKUP(Tabla5[[#This Row],[Producto 25]],Tabla3[[Nombre]:[Ud]],5,FALSE)*Tabla5[[#This Row],[Cantidad 25]],0)</calculatedColumnFormula>
    </tableColumn>
    <tableColumn id="83" xr3:uid="{71A79C52-C2A1-440F-A40C-361BE7F03506}" name="Producto 26"/>
    <tableColumn id="84" xr3:uid="{37E66A22-B40D-49CA-8E9D-DD5E1048117F}" name="Cantidad 26"/>
    <tableColumn id="85" xr3:uid="{89BFD2DB-7DBC-46B9-95A3-4A75AE58E4C4}" name="Coste 26" dataDxfId="15">
      <calculatedColumnFormula>IFERROR(VLOOKUP(Tabla5[[#This Row],[Producto 26]],Tabla3[[Nombre]:[Ud]],5,FALSE)*Tabla5[[#This Row],[Cantidad 26]],0)</calculatedColumnFormula>
    </tableColumn>
    <tableColumn id="86" xr3:uid="{AA1350BE-B308-4393-9E86-C7412000ECA0}" name="Producto 27"/>
    <tableColumn id="87" xr3:uid="{4E51A867-C3B6-42AC-B14D-9E36C8CA4F39}" name="Cantidad 27"/>
    <tableColumn id="88" xr3:uid="{F6BD3E71-8484-4343-94FD-8E4D320107E7}" name="Coste 27" dataDxfId="14">
      <calculatedColumnFormula>IFERROR(VLOOKUP(Tabla5[[#This Row],[Producto 27]],Tabla3[[Nombre]:[Ud]],5,FALSE)*Tabla5[[#This Row],[Cantidad 27]],0)</calculatedColumnFormula>
    </tableColumn>
    <tableColumn id="89" xr3:uid="{21BF7474-2263-4C16-96B3-498791218292}" name="Producto 28"/>
    <tableColumn id="90" xr3:uid="{71134B82-1EC7-4E73-A155-F13837FF419A}" name="Cantidad 28"/>
    <tableColumn id="91" xr3:uid="{62326963-A721-4A45-9D7E-7B8CB7CFF4A6}" name="Coste 28" dataDxfId="13">
      <calculatedColumnFormula>IFERROR(VLOOKUP(Tabla5[[#This Row],[Producto 28]],Tabla3[[Nombre]:[Ud]],5,FALSE)*Tabla5[[#This Row],[Cantidad 28]],0)</calculatedColumnFormula>
    </tableColumn>
    <tableColumn id="92" xr3:uid="{E7709A9A-5E37-4624-A1B4-D5F4D1064A16}" name="Producto 29"/>
    <tableColumn id="93" xr3:uid="{6ADE0131-388B-4965-A69B-CB3C937F64FD}" name="Cantidad 29"/>
    <tableColumn id="94" xr3:uid="{3DDCEDA2-9DA9-4B74-83F4-80F31DB0EDE9}" name="Coste 29" dataDxfId="12">
      <calculatedColumnFormula>IFERROR(VLOOKUP(Tabla5[[#This Row],[Producto 29]],Tabla3[[Nombre]:[Ud]],5,FALSE)*Tabla5[[#This Row],[Cantidad 29]],0)</calculatedColumnFormula>
    </tableColumn>
    <tableColumn id="95" xr3:uid="{09BE2873-FF9B-425D-8E1F-D40BA7E8F605}" name="Producto 30"/>
    <tableColumn id="96" xr3:uid="{293BD250-1315-42B1-A042-4C62D410B190}" name="Cantidad 30"/>
    <tableColumn id="97" xr3:uid="{FADEF746-CC65-42E1-A6B2-EE57FFBECA49}" name="Coste 30" dataDxfId="11">
      <calculatedColumnFormula>IFERROR(VLOOKUP(Tabla5[[#This Row],[Producto 30]],Tabla3[[Nombre]:[Ud]],5,FALSE)*Tabla5[[#This Row],[Cantidad 30]],0)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C5E51A-CE89-4ECD-96A1-3B533A87A1EF}" name="Tabla3" displayName="Tabla3" ref="A1:G130" totalsRowShown="0">
  <autoFilter ref="A1:G130" xr:uid="{83C5E51A-CE89-4ECD-96A1-3B533A87A1EF}"/>
  <tableColumns count="7">
    <tableColumn id="1" xr3:uid="{27EB8EBB-80AE-42DE-A89B-FC17D08C2E47}" name="Id"/>
    <tableColumn id="2" xr3:uid="{5443A82B-1FDC-4571-BA95-EBF22D310EF0}" name="Nombre"/>
    <tableColumn id="3" xr3:uid="{5C8F95C0-10A0-47F2-AF4A-47D672B92A27}" name="Cantidad"/>
    <tableColumn id="4" xr3:uid="{D63BBF57-B2C2-4875-B0FA-43786E4229F2}" name="Ud medida"/>
    <tableColumn id="5" xr3:uid="{316FC0A7-D136-4CE0-BCD2-E9F5E9C4555F}" name="Precio" dataDxfId="10"/>
    <tableColumn id="6" xr3:uid="{981A7A78-33AF-47AF-8035-2D8E99754EF8}" name="Precio Unitario" dataDxfId="9"/>
    <tableColumn id="7" xr3:uid="{C656CE31-8EB5-4209-BD26-D516C3AB58D4}" name="Ud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CDF9A-1E2C-471B-9488-C3D8AC953E73}" name="Tabla1" displayName="Tabla1" ref="A1:I6" totalsRowShown="0" headerRowDxfId="8">
  <autoFilter ref="A1:I6" xr:uid="{973CDF9A-1E2C-471B-9488-C3D8AC953E73}"/>
  <tableColumns count="9">
    <tableColumn id="1" xr3:uid="{25ABC674-568C-4D98-97F7-09C521015465}" name="Id"/>
    <tableColumn id="2" xr3:uid="{742A9F32-733C-4B99-AA65-A5AD2C8EE9F7}" name="Nombre"/>
    <tableColumn id="3" xr3:uid="{00C70738-315A-4AC7-AB07-4BBED55F3A4C}" name="Cantidad">
      <calculatedColumnFormula>8*60*22</calculatedColumnFormula>
    </tableColumn>
    <tableColumn id="4" xr3:uid="{F8A9D29F-1F61-4075-A35A-246F13524C76}" name="Ud medida"/>
    <tableColumn id="5" xr3:uid="{F0668406-356E-4F72-B5AD-73AE42F4D0F8}" name="Neto" dataDxfId="7"/>
    <tableColumn id="6" xr3:uid="{A52226B4-9059-4A01-840C-906AFEB74464}" name="Retenciones" dataDxfId="6"/>
    <tableColumn id="7" xr3:uid="{72ECE13C-0C82-4379-8F03-A35022AE3884}" name="Coste para empresa" dataDxfId="5">
      <calculatedColumnFormula>((E2*F2)+E2)*1.5</calculatedColumnFormula>
    </tableColumn>
    <tableColumn id="8" xr3:uid="{4843BE7D-40DC-48A2-A73D-F51F8CF8D886}" name="Precio Unitario" dataDxfId="4">
      <calculatedColumnFormula>G2/C2</calculatedColumnFormula>
    </tableColumn>
    <tableColumn id="9" xr3:uid="{DAB53A77-41AD-41C7-8530-86B9ECAC68CB}" name="Ud">
      <calculatedColumnFormula>D2</calculatedColumnFormula>
    </tableColumn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6F19BF-A750-4300-9B76-29148BF13DE7}" name="Tabla13" displayName="Tabla13" ref="A1:G5" totalsRowCount="1" headerRowDxfId="3">
  <autoFilter ref="A1:G4" xr:uid="{973CDF9A-1E2C-471B-9488-C3D8AC953E73}"/>
  <tableColumns count="7">
    <tableColumn id="1" xr3:uid="{21C8C35A-2B34-4690-AC04-6B525405710F}" name="Id" totalsRowLabel="Total"/>
    <tableColumn id="2" xr3:uid="{9F1ABA38-CD29-44F7-A362-109FD968DD45}" name="Nombre"/>
    <tableColumn id="3" xr3:uid="{C508EA7C-6BFA-4C80-81E4-01C4D8465599}" name="Cantidad">
      <calculatedColumnFormula>8*60*22</calculatedColumnFormula>
    </tableColumn>
    <tableColumn id="4" xr3:uid="{5140D60F-D018-4EC6-AB10-8F9BA9FDF106}" name="Ud medida"/>
    <tableColumn id="7" xr3:uid="{FD3E9E93-3592-40E1-912F-FD1A2B9F2B74}" name="Coste para empresa" dataDxfId="2">
      <calculatedColumnFormula>((#REF!*#REF!)+#REF!)*1.5</calculatedColumnFormula>
    </tableColumn>
    <tableColumn id="8" xr3:uid="{7AA813EC-0F6E-481B-8101-DBA093931406}" name="Precio Unitario" totalsRowFunction="sum" dataDxfId="1" totalsRowDxfId="0">
      <calculatedColumnFormula>E2/C2</calculatedColumnFormula>
    </tableColumn>
    <tableColumn id="9" xr3:uid="{0024D8FF-D0A2-4E88-A806-C969D37C7839}" name="Ud">
      <calculatedColumnFormula>D2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44A1-F36A-43D8-9BB3-84015549A76E}">
  <dimension ref="A1:F60"/>
  <sheetViews>
    <sheetView tabSelected="1" workbookViewId="0">
      <selection activeCell="E5" sqref="E5"/>
    </sheetView>
  </sheetViews>
  <sheetFormatPr baseColWidth="10" defaultRowHeight="14.5" x14ac:dyDescent="0.35"/>
  <cols>
    <col min="3" max="3" width="16.6328125" bestFit="1" customWidth="1"/>
  </cols>
  <sheetData>
    <row r="1" spans="1:6" x14ac:dyDescent="0.35">
      <c r="A1" t="s">
        <v>5</v>
      </c>
      <c r="B1" t="s">
        <v>116</v>
      </c>
      <c r="C1" t="s">
        <v>128</v>
      </c>
      <c r="D1" t="s">
        <v>130</v>
      </c>
      <c r="E1" t="s">
        <v>129</v>
      </c>
      <c r="F1" t="s">
        <v>131</v>
      </c>
    </row>
    <row r="2" spans="1:6" x14ac:dyDescent="0.35">
      <c r="A2">
        <f>Tabla5[[#This Row],[Id]]</f>
        <v>0</v>
      </c>
      <c r="B2" t="str">
        <f>VLOOKUP(Tabla57[[#This Row],[Id]],Tabla5[[Id]:[Escandallo Total]],2,FALSE)</f>
        <v>Prueba</v>
      </c>
      <c r="C2" s="1">
        <f>VLOOKUP(Tabla57[[#This Row],[Id]],Tabla5[[Id]:[Escandallo Total]],4,FALSE)</f>
        <v>85.724730909090894</v>
      </c>
      <c r="D2" s="1">
        <f>Tabla57[[#This Row],[Escandallo Total]]*Datos!$B$2+Tabla57[[#This Row],[Escandallo Total]]</f>
        <v>128.58709636363633</v>
      </c>
      <c r="E2" s="1">
        <f>Tabla57[[#This Row],[Beneficio]]*Datos!$B$1+Tabla57[[#This Row],[Beneficio]]</f>
        <v>155.59038659999996</v>
      </c>
    </row>
    <row r="3" spans="1:6" x14ac:dyDescent="0.35">
      <c r="A3">
        <v>1</v>
      </c>
      <c r="B3" t="str">
        <f>VLOOKUP(Tabla57[[#This Row],[Id]],Tabla5[[Id]:[Escandallo Total]],2,FALSE)</f>
        <v>Mesodermolifting</v>
      </c>
      <c r="C3" s="1">
        <f>VLOOKUP(Tabla57[[#This Row],[Id]],Tabla5[[Id]:[Escandallo Total]],4,FALSE)</f>
        <v>34.712457272727285</v>
      </c>
      <c r="D3" s="1">
        <f>Tabla57[[#This Row],[Escandallo Total]]*Datos!$B$2+Tabla57[[#This Row],[Escandallo Total]]</f>
        <v>52.068685909090931</v>
      </c>
      <c r="E3" s="1">
        <f>Tabla57[[#This Row],[Beneficio]]*Datos!$B$1+Tabla57[[#This Row],[Beneficio]]</f>
        <v>63.003109950000024</v>
      </c>
      <c r="F3">
        <v>100</v>
      </c>
    </row>
    <row r="4" spans="1:6" x14ac:dyDescent="0.35">
      <c r="A4">
        <v>2</v>
      </c>
      <c r="B4">
        <f>VLOOKUP(Tabla57[[#This Row],[Id]],Tabla5[[Id]:[Escandallo Total]],2,FALSE)</f>
        <v>0</v>
      </c>
      <c r="C4" s="1">
        <f>VLOOKUP(Tabla57[[#This Row],[Id]],Tabla5[[Id]:[Escandallo Total]],4,FALSE)</f>
        <v>0</v>
      </c>
      <c r="D4" s="1">
        <f>Tabla57[[#This Row],[Escandallo Total]]*Datos!$B$2+Tabla57[[#This Row],[Escandallo Total]]</f>
        <v>0</v>
      </c>
      <c r="E4" s="1">
        <f>Tabla57[[#This Row],[Beneficio]]*Datos!$B$1+Tabla57[[#This Row],[Beneficio]]</f>
        <v>0</v>
      </c>
    </row>
    <row r="5" spans="1:6" x14ac:dyDescent="0.35">
      <c r="A5">
        <v>3</v>
      </c>
      <c r="B5">
        <f>VLOOKUP(Tabla57[[#This Row],[Id]],Tabla5[[Id]:[Escandallo Total]],2,FALSE)</f>
        <v>0</v>
      </c>
      <c r="C5" s="1">
        <f>VLOOKUP(Tabla57[[#This Row],[Id]],Tabla5[[Id]:[Escandallo Total]],4,FALSE)</f>
        <v>0</v>
      </c>
      <c r="D5" s="1">
        <f>Tabla57[[#This Row],[Escandallo Total]]*Datos!$B$2+Tabla57[[#This Row],[Escandallo Total]]</f>
        <v>0</v>
      </c>
      <c r="E5" s="1">
        <f>Tabla57[[#This Row],[Beneficio]]*Datos!$B$1+Tabla57[[#This Row],[Beneficio]]</f>
        <v>0</v>
      </c>
    </row>
    <row r="6" spans="1:6" x14ac:dyDescent="0.35">
      <c r="A6">
        <v>4</v>
      </c>
      <c r="B6">
        <f>VLOOKUP(Tabla57[[#This Row],[Id]],Tabla5[[Id]:[Escandallo Total]],2,FALSE)</f>
        <v>0</v>
      </c>
      <c r="C6" s="1">
        <f>VLOOKUP(Tabla57[[#This Row],[Id]],Tabla5[[Id]:[Escandallo Total]],4,FALSE)</f>
        <v>0</v>
      </c>
      <c r="D6" s="1">
        <f>Tabla57[[#This Row],[Escandallo Total]]*Datos!$B$2+Tabla57[[#This Row],[Escandallo Total]]</f>
        <v>0</v>
      </c>
      <c r="E6" s="1">
        <f>Tabla57[[#This Row],[Beneficio]]*Datos!$B$1+Tabla57[[#This Row],[Beneficio]]</f>
        <v>0</v>
      </c>
    </row>
    <row r="7" spans="1:6" x14ac:dyDescent="0.35">
      <c r="A7">
        <v>5</v>
      </c>
      <c r="B7">
        <f>VLOOKUP(Tabla57[[#This Row],[Id]],Tabla5[[Id]:[Escandallo Total]],2,FALSE)</f>
        <v>0</v>
      </c>
      <c r="C7" s="1">
        <f>VLOOKUP(Tabla57[[#This Row],[Id]],Tabla5[[Id]:[Escandallo Total]],4,FALSE)</f>
        <v>0</v>
      </c>
      <c r="D7" s="1">
        <f>Tabla57[[#This Row],[Escandallo Total]]*Datos!$B$2+Tabla57[[#This Row],[Escandallo Total]]</f>
        <v>0</v>
      </c>
      <c r="E7" s="1">
        <f>Tabla57[[#This Row],[Beneficio]]*Datos!$B$1+Tabla57[[#This Row],[Beneficio]]</f>
        <v>0</v>
      </c>
    </row>
    <row r="8" spans="1:6" x14ac:dyDescent="0.35">
      <c r="A8">
        <v>6</v>
      </c>
      <c r="B8">
        <f>VLOOKUP(Tabla57[[#This Row],[Id]],Tabla5[[Id]:[Escandallo Total]],2,FALSE)</f>
        <v>0</v>
      </c>
      <c r="C8" s="1">
        <f>VLOOKUP(Tabla57[[#This Row],[Id]],Tabla5[[Id]:[Escandallo Total]],4,FALSE)</f>
        <v>0</v>
      </c>
      <c r="D8" s="1">
        <f>Tabla57[[#This Row],[Escandallo Total]]*Datos!$B$2+Tabla57[[#This Row],[Escandallo Total]]</f>
        <v>0</v>
      </c>
      <c r="E8" s="1">
        <f>Tabla57[[#This Row],[Beneficio]]*Datos!$B$1+Tabla57[[#This Row],[Beneficio]]</f>
        <v>0</v>
      </c>
    </row>
    <row r="9" spans="1:6" x14ac:dyDescent="0.35">
      <c r="A9">
        <v>7</v>
      </c>
      <c r="B9">
        <f>VLOOKUP(Tabla57[[#This Row],[Id]],Tabla5[[Id]:[Escandallo Total]],2,FALSE)</f>
        <v>0</v>
      </c>
      <c r="C9" s="1">
        <f>VLOOKUP(Tabla57[[#This Row],[Id]],Tabla5[[Id]:[Escandallo Total]],4,FALSE)</f>
        <v>0</v>
      </c>
      <c r="D9" s="1">
        <f>Tabla57[[#This Row],[Escandallo Total]]*Datos!$B$2+Tabla57[[#This Row],[Escandallo Total]]</f>
        <v>0</v>
      </c>
      <c r="E9" s="1">
        <f>Tabla57[[#This Row],[Beneficio]]*Datos!$B$1+Tabla57[[#This Row],[Beneficio]]</f>
        <v>0</v>
      </c>
    </row>
    <row r="10" spans="1:6" x14ac:dyDescent="0.35">
      <c r="A10">
        <v>8</v>
      </c>
      <c r="B10">
        <f>VLOOKUP(Tabla57[[#This Row],[Id]],Tabla5[[Id]:[Escandallo Total]],2,FALSE)</f>
        <v>0</v>
      </c>
      <c r="C10" s="1">
        <f>VLOOKUP(Tabla57[[#This Row],[Id]],Tabla5[[Id]:[Escandallo Total]],4,FALSE)</f>
        <v>0</v>
      </c>
      <c r="D10" s="1">
        <f>Tabla57[[#This Row],[Escandallo Total]]*Datos!$B$2+Tabla57[[#This Row],[Escandallo Total]]</f>
        <v>0</v>
      </c>
      <c r="E10" s="1">
        <f>Tabla57[[#This Row],[Beneficio]]*Datos!$B$1+Tabla57[[#This Row],[Beneficio]]</f>
        <v>0</v>
      </c>
    </row>
    <row r="11" spans="1:6" x14ac:dyDescent="0.35">
      <c r="A11">
        <v>9</v>
      </c>
      <c r="B11">
        <f>VLOOKUP(Tabla57[[#This Row],[Id]],Tabla5[[Id]:[Escandallo Total]],2,FALSE)</f>
        <v>0</v>
      </c>
      <c r="C11" s="1">
        <f>VLOOKUP(Tabla57[[#This Row],[Id]],Tabla5[[Id]:[Escandallo Total]],4,FALSE)</f>
        <v>0</v>
      </c>
      <c r="D11" s="1">
        <f>Tabla57[[#This Row],[Escandallo Total]]*Datos!$B$2+Tabla57[[#This Row],[Escandallo Total]]</f>
        <v>0</v>
      </c>
      <c r="E11" s="1">
        <f>Tabla57[[#This Row],[Beneficio]]*Datos!$B$1+Tabla57[[#This Row],[Beneficio]]</f>
        <v>0</v>
      </c>
    </row>
    <row r="12" spans="1:6" x14ac:dyDescent="0.35">
      <c r="A12">
        <v>10</v>
      </c>
      <c r="B12">
        <f>VLOOKUP(Tabla57[[#This Row],[Id]],Tabla5[[Id]:[Escandallo Total]],2,FALSE)</f>
        <v>0</v>
      </c>
      <c r="C12" s="1">
        <f>VLOOKUP(Tabla57[[#This Row],[Id]],Tabla5[[Id]:[Escandallo Total]],4,FALSE)</f>
        <v>0</v>
      </c>
      <c r="D12" s="1">
        <f>Tabla57[[#This Row],[Escandallo Total]]*Datos!$B$2+Tabla57[[#This Row],[Escandallo Total]]</f>
        <v>0</v>
      </c>
      <c r="E12" s="1">
        <f>Tabla57[[#This Row],[Beneficio]]*Datos!$B$1+Tabla57[[#This Row],[Beneficio]]</f>
        <v>0</v>
      </c>
    </row>
    <row r="13" spans="1:6" x14ac:dyDescent="0.35">
      <c r="A13">
        <v>11</v>
      </c>
      <c r="B13">
        <f>VLOOKUP(Tabla57[[#This Row],[Id]],Tabla5[[Id]:[Escandallo Total]],2,FALSE)</f>
        <v>0</v>
      </c>
      <c r="C13" s="1">
        <f>VLOOKUP(Tabla57[[#This Row],[Id]],Tabla5[[Id]:[Escandallo Total]],4,FALSE)</f>
        <v>0</v>
      </c>
      <c r="D13" s="1">
        <f>Tabla57[[#This Row],[Escandallo Total]]*Datos!$B$2+Tabla57[[#This Row],[Escandallo Total]]</f>
        <v>0</v>
      </c>
      <c r="E13" s="1">
        <f>Tabla57[[#This Row],[Beneficio]]*Datos!$B$1+Tabla57[[#This Row],[Beneficio]]</f>
        <v>0</v>
      </c>
    </row>
    <row r="14" spans="1:6" x14ac:dyDescent="0.35">
      <c r="A14">
        <v>12</v>
      </c>
      <c r="B14">
        <f>VLOOKUP(Tabla57[[#This Row],[Id]],Tabla5[[Id]:[Escandallo Total]],2,FALSE)</f>
        <v>0</v>
      </c>
      <c r="C14" s="1">
        <f>VLOOKUP(Tabla57[[#This Row],[Id]],Tabla5[[Id]:[Escandallo Total]],4,FALSE)</f>
        <v>0</v>
      </c>
      <c r="D14" s="1">
        <f>Tabla57[[#This Row],[Escandallo Total]]*Datos!$B$2+Tabla57[[#This Row],[Escandallo Total]]</f>
        <v>0</v>
      </c>
      <c r="E14" s="1">
        <f>Tabla57[[#This Row],[Beneficio]]*Datos!$B$1+Tabla57[[#This Row],[Beneficio]]</f>
        <v>0</v>
      </c>
    </row>
    <row r="15" spans="1:6" x14ac:dyDescent="0.35">
      <c r="A15">
        <v>13</v>
      </c>
      <c r="B15">
        <f>VLOOKUP(Tabla57[[#This Row],[Id]],Tabla5[[Id]:[Escandallo Total]],2,FALSE)</f>
        <v>0</v>
      </c>
      <c r="C15" s="1">
        <f>VLOOKUP(Tabla57[[#This Row],[Id]],Tabla5[[Id]:[Escandallo Total]],4,FALSE)</f>
        <v>0</v>
      </c>
      <c r="D15" s="1">
        <f>Tabla57[[#This Row],[Escandallo Total]]*Datos!$B$2+Tabla57[[#This Row],[Escandallo Total]]</f>
        <v>0</v>
      </c>
      <c r="E15" s="1">
        <f>Tabla57[[#This Row],[Beneficio]]*Datos!$B$1+Tabla57[[#This Row],[Beneficio]]</f>
        <v>0</v>
      </c>
    </row>
    <row r="16" spans="1:6" x14ac:dyDescent="0.35">
      <c r="A16">
        <v>14</v>
      </c>
      <c r="B16">
        <f>VLOOKUP(Tabla57[[#This Row],[Id]],Tabla5[[Id]:[Escandallo Total]],2,FALSE)</f>
        <v>0</v>
      </c>
      <c r="C16" s="1">
        <f>VLOOKUP(Tabla57[[#This Row],[Id]],Tabla5[[Id]:[Escandallo Total]],4,FALSE)</f>
        <v>0</v>
      </c>
      <c r="D16" s="1">
        <f>Tabla57[[#This Row],[Escandallo Total]]*Datos!$B$2+Tabla57[[#This Row],[Escandallo Total]]</f>
        <v>0</v>
      </c>
      <c r="E16" s="1">
        <f>Tabla57[[#This Row],[Beneficio]]*Datos!$B$1+Tabla57[[#This Row],[Beneficio]]</f>
        <v>0</v>
      </c>
    </row>
    <row r="17" spans="1:5" x14ac:dyDescent="0.35">
      <c r="A17">
        <v>15</v>
      </c>
      <c r="B17">
        <f>VLOOKUP(Tabla57[[#This Row],[Id]],Tabla5[[Id]:[Escandallo Total]],2,FALSE)</f>
        <v>0</v>
      </c>
      <c r="C17" s="1">
        <f>VLOOKUP(Tabla57[[#This Row],[Id]],Tabla5[[Id]:[Escandallo Total]],4,FALSE)</f>
        <v>0</v>
      </c>
      <c r="D17" s="1">
        <f>Tabla57[[#This Row],[Escandallo Total]]*Datos!$B$2+Tabla57[[#This Row],[Escandallo Total]]</f>
        <v>0</v>
      </c>
      <c r="E17" s="1">
        <f>Tabla57[[#This Row],[Beneficio]]*Datos!$B$1+Tabla57[[#This Row],[Beneficio]]</f>
        <v>0</v>
      </c>
    </row>
    <row r="18" spans="1:5" x14ac:dyDescent="0.35">
      <c r="A18">
        <v>16</v>
      </c>
      <c r="B18">
        <f>VLOOKUP(Tabla57[[#This Row],[Id]],Tabla5[[Id]:[Escandallo Total]],2,FALSE)</f>
        <v>0</v>
      </c>
      <c r="C18" s="1">
        <f>VLOOKUP(Tabla57[[#This Row],[Id]],Tabla5[[Id]:[Escandallo Total]],4,FALSE)</f>
        <v>0</v>
      </c>
      <c r="D18" s="1">
        <f>Tabla57[[#This Row],[Escandallo Total]]*Datos!$B$2+Tabla57[[#This Row],[Escandallo Total]]</f>
        <v>0</v>
      </c>
      <c r="E18" s="1">
        <f>Tabla57[[#This Row],[Beneficio]]*Datos!$B$1+Tabla57[[#This Row],[Beneficio]]</f>
        <v>0</v>
      </c>
    </row>
    <row r="19" spans="1:5" x14ac:dyDescent="0.35">
      <c r="A19">
        <v>17</v>
      </c>
      <c r="B19">
        <f>VLOOKUP(Tabla57[[#This Row],[Id]],Tabla5[[Id]:[Escandallo Total]],2,FALSE)</f>
        <v>0</v>
      </c>
      <c r="C19" s="1">
        <f>VLOOKUP(Tabla57[[#This Row],[Id]],Tabla5[[Id]:[Escandallo Total]],4,FALSE)</f>
        <v>0</v>
      </c>
      <c r="D19" s="1">
        <f>Tabla57[[#This Row],[Escandallo Total]]*Datos!$B$2+Tabla57[[#This Row],[Escandallo Total]]</f>
        <v>0</v>
      </c>
      <c r="E19" s="1">
        <f>Tabla57[[#This Row],[Beneficio]]*Datos!$B$1+Tabla57[[#This Row],[Beneficio]]</f>
        <v>0</v>
      </c>
    </row>
    <row r="20" spans="1:5" x14ac:dyDescent="0.35">
      <c r="A20">
        <v>18</v>
      </c>
      <c r="B20">
        <f>VLOOKUP(Tabla57[[#This Row],[Id]],Tabla5[[Id]:[Escandallo Total]],2,FALSE)</f>
        <v>0</v>
      </c>
      <c r="C20" s="1">
        <f>VLOOKUP(Tabla57[[#This Row],[Id]],Tabla5[[Id]:[Escandallo Total]],4,FALSE)</f>
        <v>0</v>
      </c>
      <c r="D20" s="1">
        <f>Tabla57[[#This Row],[Escandallo Total]]*Datos!$B$2+Tabla57[[#This Row],[Escandallo Total]]</f>
        <v>0</v>
      </c>
      <c r="E20" s="1">
        <f>Tabla57[[#This Row],[Beneficio]]*Datos!$B$1+Tabla57[[#This Row],[Beneficio]]</f>
        <v>0</v>
      </c>
    </row>
    <row r="21" spans="1:5" x14ac:dyDescent="0.35">
      <c r="A21">
        <v>19</v>
      </c>
      <c r="B21">
        <f>VLOOKUP(Tabla57[[#This Row],[Id]],Tabla5[[Id]:[Escandallo Total]],2,FALSE)</f>
        <v>0</v>
      </c>
      <c r="C21" s="1">
        <f>VLOOKUP(Tabla57[[#This Row],[Id]],Tabla5[[Id]:[Escandallo Total]],4,FALSE)</f>
        <v>0</v>
      </c>
      <c r="D21" s="1">
        <f>Tabla57[[#This Row],[Escandallo Total]]*Datos!$B$2+Tabla57[[#This Row],[Escandallo Total]]</f>
        <v>0</v>
      </c>
      <c r="E21" s="1">
        <f>Tabla57[[#This Row],[Beneficio]]*Datos!$B$1+Tabla57[[#This Row],[Beneficio]]</f>
        <v>0</v>
      </c>
    </row>
    <row r="22" spans="1:5" x14ac:dyDescent="0.35">
      <c r="A22">
        <v>20</v>
      </c>
      <c r="B22">
        <f>VLOOKUP(Tabla57[[#This Row],[Id]],Tabla5[[Id]:[Escandallo Total]],2,FALSE)</f>
        <v>0</v>
      </c>
      <c r="C22" s="1">
        <f>VLOOKUP(Tabla57[[#This Row],[Id]],Tabla5[[Id]:[Escandallo Total]],4,FALSE)</f>
        <v>0</v>
      </c>
      <c r="D22" s="1">
        <f>Tabla57[[#This Row],[Escandallo Total]]*Datos!$B$2+Tabla57[[#This Row],[Escandallo Total]]</f>
        <v>0</v>
      </c>
      <c r="E22" s="1">
        <f>Tabla57[[#This Row],[Beneficio]]*Datos!$B$1+Tabla57[[#This Row],[Beneficio]]</f>
        <v>0</v>
      </c>
    </row>
    <row r="23" spans="1:5" x14ac:dyDescent="0.35">
      <c r="A23">
        <v>21</v>
      </c>
      <c r="B23">
        <f>VLOOKUP(Tabla57[[#This Row],[Id]],Tabla5[[Id]:[Escandallo Total]],2,FALSE)</f>
        <v>0</v>
      </c>
      <c r="C23" s="1">
        <f>VLOOKUP(Tabla57[[#This Row],[Id]],Tabla5[[Id]:[Escandallo Total]],4,FALSE)</f>
        <v>0</v>
      </c>
      <c r="D23" s="1">
        <f>Tabla57[[#This Row],[Escandallo Total]]*Datos!$B$2+Tabla57[[#This Row],[Escandallo Total]]</f>
        <v>0</v>
      </c>
      <c r="E23" s="1">
        <f>Tabla57[[#This Row],[Beneficio]]*Datos!$B$1+Tabla57[[#This Row],[Beneficio]]</f>
        <v>0</v>
      </c>
    </row>
    <row r="24" spans="1:5" x14ac:dyDescent="0.35">
      <c r="A24">
        <v>22</v>
      </c>
      <c r="B24">
        <f>VLOOKUP(Tabla57[[#This Row],[Id]],Tabla5[[Id]:[Escandallo Total]],2,FALSE)</f>
        <v>0</v>
      </c>
      <c r="C24" s="1">
        <f>VLOOKUP(Tabla57[[#This Row],[Id]],Tabla5[[Id]:[Escandallo Total]],4,FALSE)</f>
        <v>0</v>
      </c>
      <c r="D24" s="1">
        <f>Tabla57[[#This Row],[Escandallo Total]]*Datos!$B$2+Tabla57[[#This Row],[Escandallo Total]]</f>
        <v>0</v>
      </c>
      <c r="E24" s="1">
        <f>Tabla57[[#This Row],[Beneficio]]*Datos!$B$1+Tabla57[[#This Row],[Beneficio]]</f>
        <v>0</v>
      </c>
    </row>
    <row r="25" spans="1:5" x14ac:dyDescent="0.35">
      <c r="A25">
        <v>23</v>
      </c>
      <c r="B25">
        <f>VLOOKUP(Tabla57[[#This Row],[Id]],Tabla5[[Id]:[Escandallo Total]],2,FALSE)</f>
        <v>0</v>
      </c>
      <c r="C25" s="1">
        <f>VLOOKUP(Tabla57[[#This Row],[Id]],Tabla5[[Id]:[Escandallo Total]],4,FALSE)</f>
        <v>0</v>
      </c>
      <c r="D25" s="1">
        <f>Tabla57[[#This Row],[Escandallo Total]]*Datos!$B$2+Tabla57[[#This Row],[Escandallo Total]]</f>
        <v>0</v>
      </c>
      <c r="E25" s="1">
        <f>Tabla57[[#This Row],[Beneficio]]*Datos!$B$1+Tabla57[[#This Row],[Beneficio]]</f>
        <v>0</v>
      </c>
    </row>
    <row r="26" spans="1:5" x14ac:dyDescent="0.35">
      <c r="A26">
        <v>24</v>
      </c>
      <c r="B26">
        <f>VLOOKUP(Tabla57[[#This Row],[Id]],Tabla5[[Id]:[Escandallo Total]],2,FALSE)</f>
        <v>0</v>
      </c>
      <c r="C26" s="1">
        <f>VLOOKUP(Tabla57[[#This Row],[Id]],Tabla5[[Id]:[Escandallo Total]],4,FALSE)</f>
        <v>0</v>
      </c>
      <c r="D26" s="1">
        <f>Tabla57[[#This Row],[Escandallo Total]]*Datos!$B$2+Tabla57[[#This Row],[Escandallo Total]]</f>
        <v>0</v>
      </c>
      <c r="E26" s="1">
        <f>Tabla57[[#This Row],[Beneficio]]*Datos!$B$1+Tabla57[[#This Row],[Beneficio]]</f>
        <v>0</v>
      </c>
    </row>
    <row r="27" spans="1:5" x14ac:dyDescent="0.35">
      <c r="A27">
        <v>25</v>
      </c>
      <c r="B27">
        <f>VLOOKUP(Tabla57[[#This Row],[Id]],Tabla5[[Id]:[Escandallo Total]],2,FALSE)</f>
        <v>0</v>
      </c>
      <c r="C27" s="1">
        <f>VLOOKUP(Tabla57[[#This Row],[Id]],Tabla5[[Id]:[Escandallo Total]],4,FALSE)</f>
        <v>0</v>
      </c>
      <c r="D27" s="1">
        <f>Tabla57[[#This Row],[Escandallo Total]]*Datos!$B$2+Tabla57[[#This Row],[Escandallo Total]]</f>
        <v>0</v>
      </c>
      <c r="E27" s="1">
        <f>Tabla57[[#This Row],[Beneficio]]*Datos!$B$1+Tabla57[[#This Row],[Beneficio]]</f>
        <v>0</v>
      </c>
    </row>
    <row r="28" spans="1:5" x14ac:dyDescent="0.35">
      <c r="A28">
        <v>26</v>
      </c>
      <c r="B28">
        <f>VLOOKUP(Tabla57[[#This Row],[Id]],Tabla5[[Id]:[Escandallo Total]],2,FALSE)</f>
        <v>0</v>
      </c>
      <c r="C28" s="1">
        <f>VLOOKUP(Tabla57[[#This Row],[Id]],Tabla5[[Id]:[Escandallo Total]],4,FALSE)</f>
        <v>0</v>
      </c>
      <c r="D28" s="1">
        <f>Tabla57[[#This Row],[Escandallo Total]]*Datos!$B$2+Tabla57[[#This Row],[Escandallo Total]]</f>
        <v>0</v>
      </c>
      <c r="E28" s="1">
        <f>Tabla57[[#This Row],[Beneficio]]*Datos!$B$1+Tabla57[[#This Row],[Beneficio]]</f>
        <v>0</v>
      </c>
    </row>
    <row r="29" spans="1:5" x14ac:dyDescent="0.35">
      <c r="A29">
        <v>27</v>
      </c>
      <c r="B29">
        <f>VLOOKUP(Tabla57[[#This Row],[Id]],Tabla5[[Id]:[Escandallo Total]],2,FALSE)</f>
        <v>0</v>
      </c>
      <c r="C29" s="1">
        <f>VLOOKUP(Tabla57[[#This Row],[Id]],Tabla5[[Id]:[Escandallo Total]],4,FALSE)</f>
        <v>0</v>
      </c>
      <c r="D29" s="1">
        <f>Tabla57[[#This Row],[Escandallo Total]]*Datos!$B$2+Tabla57[[#This Row],[Escandallo Total]]</f>
        <v>0</v>
      </c>
      <c r="E29" s="1">
        <f>Tabla57[[#This Row],[Beneficio]]*Datos!$B$1+Tabla57[[#This Row],[Beneficio]]</f>
        <v>0</v>
      </c>
    </row>
    <row r="30" spans="1:5" x14ac:dyDescent="0.35">
      <c r="A30">
        <v>28</v>
      </c>
      <c r="B30">
        <f>VLOOKUP(Tabla57[[#This Row],[Id]],Tabla5[[Id]:[Escandallo Total]],2,FALSE)</f>
        <v>0</v>
      </c>
      <c r="C30" s="1">
        <f>VLOOKUP(Tabla57[[#This Row],[Id]],Tabla5[[Id]:[Escandallo Total]],4,FALSE)</f>
        <v>0</v>
      </c>
      <c r="D30" s="1">
        <f>Tabla57[[#This Row],[Escandallo Total]]*Datos!$B$2+Tabla57[[#This Row],[Escandallo Total]]</f>
        <v>0</v>
      </c>
      <c r="E30" s="1">
        <f>Tabla57[[#This Row],[Beneficio]]*Datos!$B$1+Tabla57[[#This Row],[Beneficio]]</f>
        <v>0</v>
      </c>
    </row>
    <row r="31" spans="1:5" x14ac:dyDescent="0.35">
      <c r="A31">
        <v>29</v>
      </c>
      <c r="B31">
        <f>VLOOKUP(Tabla57[[#This Row],[Id]],Tabla5[[Id]:[Escandallo Total]],2,FALSE)</f>
        <v>0</v>
      </c>
      <c r="C31" s="1">
        <f>VLOOKUP(Tabla57[[#This Row],[Id]],Tabla5[[Id]:[Escandallo Total]],4,FALSE)</f>
        <v>0</v>
      </c>
      <c r="D31" s="1">
        <f>Tabla57[[#This Row],[Escandallo Total]]*Datos!$B$2+Tabla57[[#This Row],[Escandallo Total]]</f>
        <v>0</v>
      </c>
      <c r="E31" s="1">
        <f>Tabla57[[#This Row],[Beneficio]]*Datos!$B$1+Tabla57[[#This Row],[Beneficio]]</f>
        <v>0</v>
      </c>
    </row>
    <row r="32" spans="1:5" x14ac:dyDescent="0.35">
      <c r="A32">
        <v>30</v>
      </c>
      <c r="B32">
        <f>VLOOKUP(Tabla57[[#This Row],[Id]],Tabla5[[Id]:[Escandallo Total]],2,FALSE)</f>
        <v>0</v>
      </c>
      <c r="C32" s="1">
        <f>VLOOKUP(Tabla57[[#This Row],[Id]],Tabla5[[Id]:[Escandallo Total]],4,FALSE)</f>
        <v>0</v>
      </c>
      <c r="D32" s="1">
        <f>Tabla57[[#This Row],[Escandallo Total]]*Datos!$B$2+Tabla57[[#This Row],[Escandallo Total]]</f>
        <v>0</v>
      </c>
      <c r="E32" s="1">
        <f>Tabla57[[#This Row],[Beneficio]]*Datos!$B$1+Tabla57[[#This Row],[Beneficio]]</f>
        <v>0</v>
      </c>
    </row>
    <row r="33" spans="1:5" x14ac:dyDescent="0.35">
      <c r="A33">
        <v>31</v>
      </c>
      <c r="B33">
        <f>VLOOKUP(Tabla57[[#This Row],[Id]],Tabla5[[Id]:[Escandallo Total]],2,FALSE)</f>
        <v>0</v>
      </c>
      <c r="C33" s="1">
        <f>VLOOKUP(Tabla57[[#This Row],[Id]],Tabla5[[Id]:[Escandallo Total]],4,FALSE)</f>
        <v>0</v>
      </c>
      <c r="D33" s="1">
        <f>Tabla57[[#This Row],[Escandallo Total]]*Datos!$B$2+Tabla57[[#This Row],[Escandallo Total]]</f>
        <v>0</v>
      </c>
      <c r="E33" s="1">
        <f>Tabla57[[#This Row],[Beneficio]]*Datos!$B$1+Tabla57[[#This Row],[Beneficio]]</f>
        <v>0</v>
      </c>
    </row>
    <row r="34" spans="1:5" x14ac:dyDescent="0.35">
      <c r="A34">
        <v>32</v>
      </c>
      <c r="B34">
        <f>VLOOKUP(Tabla57[[#This Row],[Id]],Tabla5[[Id]:[Escandallo Total]],2,FALSE)</f>
        <v>0</v>
      </c>
      <c r="C34" s="1">
        <f>VLOOKUP(Tabla57[[#This Row],[Id]],Tabla5[[Id]:[Escandallo Total]],4,FALSE)</f>
        <v>0</v>
      </c>
      <c r="D34" s="1">
        <f>Tabla57[[#This Row],[Escandallo Total]]*Datos!$B$2+Tabla57[[#This Row],[Escandallo Total]]</f>
        <v>0</v>
      </c>
      <c r="E34" s="1">
        <f>Tabla57[[#This Row],[Beneficio]]*Datos!$B$1+Tabla57[[#This Row],[Beneficio]]</f>
        <v>0</v>
      </c>
    </row>
    <row r="35" spans="1:5" x14ac:dyDescent="0.35">
      <c r="A35">
        <v>33</v>
      </c>
      <c r="B35">
        <f>VLOOKUP(Tabla57[[#This Row],[Id]],Tabla5[[Id]:[Escandallo Total]],2,FALSE)</f>
        <v>0</v>
      </c>
      <c r="C35" s="1">
        <f>VLOOKUP(Tabla57[[#This Row],[Id]],Tabla5[[Id]:[Escandallo Total]],4,FALSE)</f>
        <v>0</v>
      </c>
      <c r="D35" s="1">
        <f>Tabla57[[#This Row],[Escandallo Total]]*Datos!$B$2+Tabla57[[#This Row],[Escandallo Total]]</f>
        <v>0</v>
      </c>
      <c r="E35" s="1">
        <f>Tabla57[[#This Row],[Beneficio]]*Datos!$B$1+Tabla57[[#This Row],[Beneficio]]</f>
        <v>0</v>
      </c>
    </row>
    <row r="36" spans="1:5" x14ac:dyDescent="0.35">
      <c r="A36">
        <v>34</v>
      </c>
      <c r="B36">
        <f>VLOOKUP(Tabla57[[#This Row],[Id]],Tabla5[[Id]:[Escandallo Total]],2,FALSE)</f>
        <v>0</v>
      </c>
      <c r="C36" s="1">
        <f>VLOOKUP(Tabla57[[#This Row],[Id]],Tabla5[[Id]:[Escandallo Total]],4,FALSE)</f>
        <v>0</v>
      </c>
      <c r="D36" s="1">
        <f>Tabla57[[#This Row],[Escandallo Total]]*Datos!$B$2+Tabla57[[#This Row],[Escandallo Total]]</f>
        <v>0</v>
      </c>
      <c r="E36" s="1">
        <f>Tabla57[[#This Row],[Beneficio]]*Datos!$B$1+Tabla57[[#This Row],[Beneficio]]</f>
        <v>0</v>
      </c>
    </row>
    <row r="37" spans="1:5" x14ac:dyDescent="0.35">
      <c r="A37">
        <v>35</v>
      </c>
      <c r="B37">
        <f>VLOOKUP(Tabla57[[#This Row],[Id]],Tabla5[[Id]:[Escandallo Total]],2,FALSE)</f>
        <v>0</v>
      </c>
      <c r="C37" s="1">
        <f>VLOOKUP(Tabla57[[#This Row],[Id]],Tabla5[[Id]:[Escandallo Total]],4,FALSE)</f>
        <v>0</v>
      </c>
      <c r="D37" s="1">
        <f>Tabla57[[#This Row],[Escandallo Total]]*Datos!$B$2+Tabla57[[#This Row],[Escandallo Total]]</f>
        <v>0</v>
      </c>
      <c r="E37" s="1">
        <f>Tabla57[[#This Row],[Beneficio]]*Datos!$B$1+Tabla57[[#This Row],[Beneficio]]</f>
        <v>0</v>
      </c>
    </row>
    <row r="38" spans="1:5" x14ac:dyDescent="0.35">
      <c r="A38">
        <v>36</v>
      </c>
      <c r="B38">
        <f>VLOOKUP(Tabla57[[#This Row],[Id]],Tabla5[[Id]:[Escandallo Total]],2,FALSE)</f>
        <v>0</v>
      </c>
      <c r="C38" s="1">
        <f>VLOOKUP(Tabla57[[#This Row],[Id]],Tabla5[[Id]:[Escandallo Total]],4,FALSE)</f>
        <v>0</v>
      </c>
      <c r="D38" s="1">
        <f>Tabla57[[#This Row],[Escandallo Total]]*Datos!$B$2+Tabla57[[#This Row],[Escandallo Total]]</f>
        <v>0</v>
      </c>
      <c r="E38" s="1">
        <f>Tabla57[[#This Row],[Beneficio]]*Datos!$B$1+Tabla57[[#This Row],[Beneficio]]</f>
        <v>0</v>
      </c>
    </row>
    <row r="39" spans="1:5" x14ac:dyDescent="0.35">
      <c r="A39">
        <v>37</v>
      </c>
      <c r="B39">
        <f>VLOOKUP(Tabla57[[#This Row],[Id]],Tabla5[[Id]:[Escandallo Total]],2,FALSE)</f>
        <v>0</v>
      </c>
      <c r="C39" s="1">
        <f>VLOOKUP(Tabla57[[#This Row],[Id]],Tabla5[[Id]:[Escandallo Total]],4,FALSE)</f>
        <v>0</v>
      </c>
      <c r="D39" s="1">
        <f>Tabla57[[#This Row],[Escandallo Total]]*Datos!$B$2+Tabla57[[#This Row],[Escandallo Total]]</f>
        <v>0</v>
      </c>
      <c r="E39" s="1">
        <f>Tabla57[[#This Row],[Beneficio]]*Datos!$B$1+Tabla57[[#This Row],[Beneficio]]</f>
        <v>0</v>
      </c>
    </row>
    <row r="40" spans="1:5" x14ac:dyDescent="0.35">
      <c r="A40">
        <v>38</v>
      </c>
      <c r="B40">
        <f>VLOOKUP(Tabla57[[#This Row],[Id]],Tabla5[[Id]:[Escandallo Total]],2,FALSE)</f>
        <v>0</v>
      </c>
      <c r="C40" s="1">
        <f>VLOOKUP(Tabla57[[#This Row],[Id]],Tabla5[[Id]:[Escandallo Total]],4,FALSE)</f>
        <v>0</v>
      </c>
      <c r="D40" s="1">
        <f>Tabla57[[#This Row],[Escandallo Total]]*Datos!$B$2+Tabla57[[#This Row],[Escandallo Total]]</f>
        <v>0</v>
      </c>
      <c r="E40" s="1">
        <f>Tabla57[[#This Row],[Beneficio]]*Datos!$B$1+Tabla57[[#This Row],[Beneficio]]</f>
        <v>0</v>
      </c>
    </row>
    <row r="41" spans="1:5" x14ac:dyDescent="0.35">
      <c r="A41">
        <v>39</v>
      </c>
      <c r="B41">
        <f>VLOOKUP(Tabla57[[#This Row],[Id]],Tabla5[[Id]:[Escandallo Total]],2,FALSE)</f>
        <v>0</v>
      </c>
      <c r="C41" s="1">
        <f>VLOOKUP(Tabla57[[#This Row],[Id]],Tabla5[[Id]:[Escandallo Total]],4,FALSE)</f>
        <v>0</v>
      </c>
      <c r="D41" s="1">
        <f>Tabla57[[#This Row],[Escandallo Total]]*Datos!$B$2+Tabla57[[#This Row],[Escandallo Total]]</f>
        <v>0</v>
      </c>
      <c r="E41" s="1">
        <f>Tabla57[[#This Row],[Beneficio]]*Datos!$B$1+Tabla57[[#This Row],[Beneficio]]</f>
        <v>0</v>
      </c>
    </row>
    <row r="42" spans="1:5" x14ac:dyDescent="0.35">
      <c r="A42">
        <v>40</v>
      </c>
      <c r="B42">
        <f>VLOOKUP(Tabla57[[#This Row],[Id]],Tabla5[[Id]:[Escandallo Total]],2,FALSE)</f>
        <v>0</v>
      </c>
      <c r="C42" s="1">
        <f>VLOOKUP(Tabla57[[#This Row],[Id]],Tabla5[[Id]:[Escandallo Total]],4,FALSE)</f>
        <v>0</v>
      </c>
      <c r="D42" s="1">
        <f>Tabla57[[#This Row],[Escandallo Total]]*Datos!$B$2+Tabla57[[#This Row],[Escandallo Total]]</f>
        <v>0</v>
      </c>
      <c r="E42" s="1">
        <f>Tabla57[[#This Row],[Beneficio]]*Datos!$B$1+Tabla57[[#This Row],[Beneficio]]</f>
        <v>0</v>
      </c>
    </row>
    <row r="43" spans="1:5" x14ac:dyDescent="0.35">
      <c r="A43">
        <v>41</v>
      </c>
      <c r="B43">
        <f>VLOOKUP(Tabla57[[#This Row],[Id]],Tabla5[[Id]:[Escandallo Total]],2,FALSE)</f>
        <v>0</v>
      </c>
      <c r="C43" s="1">
        <f>VLOOKUP(Tabla57[[#This Row],[Id]],Tabla5[[Id]:[Escandallo Total]],4,FALSE)</f>
        <v>0</v>
      </c>
      <c r="D43" s="1">
        <f>Tabla57[[#This Row],[Escandallo Total]]*Datos!$B$2+Tabla57[[#This Row],[Escandallo Total]]</f>
        <v>0</v>
      </c>
      <c r="E43" s="1">
        <f>Tabla57[[#This Row],[Beneficio]]*Datos!$B$1+Tabla57[[#This Row],[Beneficio]]</f>
        <v>0</v>
      </c>
    </row>
    <row r="44" spans="1:5" x14ac:dyDescent="0.35">
      <c r="A44">
        <v>42</v>
      </c>
      <c r="B44">
        <f>VLOOKUP(Tabla57[[#This Row],[Id]],Tabla5[[Id]:[Escandallo Total]],2,FALSE)</f>
        <v>0</v>
      </c>
      <c r="C44" s="1">
        <f>VLOOKUP(Tabla57[[#This Row],[Id]],Tabla5[[Id]:[Escandallo Total]],4,FALSE)</f>
        <v>0</v>
      </c>
      <c r="D44" s="1">
        <f>Tabla57[[#This Row],[Escandallo Total]]*Datos!$B$2+Tabla57[[#This Row],[Escandallo Total]]</f>
        <v>0</v>
      </c>
      <c r="E44" s="1">
        <f>Tabla57[[#This Row],[Beneficio]]*Datos!$B$1+Tabla57[[#This Row],[Beneficio]]</f>
        <v>0</v>
      </c>
    </row>
    <row r="45" spans="1:5" x14ac:dyDescent="0.35">
      <c r="A45">
        <v>43</v>
      </c>
      <c r="B45">
        <f>VLOOKUP(Tabla57[[#This Row],[Id]],Tabla5[[Id]:[Escandallo Total]],2,FALSE)</f>
        <v>0</v>
      </c>
      <c r="C45" s="1">
        <f>VLOOKUP(Tabla57[[#This Row],[Id]],Tabla5[[Id]:[Escandallo Total]],4,FALSE)</f>
        <v>0</v>
      </c>
      <c r="D45" s="1">
        <f>Tabla57[[#This Row],[Escandallo Total]]*Datos!$B$2+Tabla57[[#This Row],[Escandallo Total]]</f>
        <v>0</v>
      </c>
      <c r="E45" s="1">
        <f>Tabla57[[#This Row],[Beneficio]]*Datos!$B$1+Tabla57[[#This Row],[Beneficio]]</f>
        <v>0</v>
      </c>
    </row>
    <row r="46" spans="1:5" x14ac:dyDescent="0.35">
      <c r="A46">
        <v>44</v>
      </c>
      <c r="B46">
        <f>VLOOKUP(Tabla57[[#This Row],[Id]],Tabla5[[Id]:[Escandallo Total]],2,FALSE)</f>
        <v>0</v>
      </c>
      <c r="C46" s="1">
        <f>VLOOKUP(Tabla57[[#This Row],[Id]],Tabla5[[Id]:[Escandallo Total]],4,FALSE)</f>
        <v>0</v>
      </c>
      <c r="D46" s="1">
        <f>Tabla57[[#This Row],[Escandallo Total]]*Datos!$B$2+Tabla57[[#This Row],[Escandallo Total]]</f>
        <v>0</v>
      </c>
      <c r="E46" s="1">
        <f>Tabla57[[#This Row],[Beneficio]]*Datos!$B$1+Tabla57[[#This Row],[Beneficio]]</f>
        <v>0</v>
      </c>
    </row>
    <row r="47" spans="1:5" x14ac:dyDescent="0.35">
      <c r="A47">
        <v>45</v>
      </c>
      <c r="B47">
        <f>VLOOKUP(Tabla57[[#This Row],[Id]],Tabla5[[Id]:[Escandallo Total]],2,FALSE)</f>
        <v>0</v>
      </c>
      <c r="C47" s="1">
        <f>VLOOKUP(Tabla57[[#This Row],[Id]],Tabla5[[Id]:[Escandallo Total]],4,FALSE)</f>
        <v>0</v>
      </c>
      <c r="D47" s="1">
        <f>Tabla57[[#This Row],[Escandallo Total]]*Datos!$B$2+Tabla57[[#This Row],[Escandallo Total]]</f>
        <v>0</v>
      </c>
      <c r="E47" s="1">
        <f>Tabla57[[#This Row],[Beneficio]]*Datos!$B$1+Tabla57[[#This Row],[Beneficio]]</f>
        <v>0</v>
      </c>
    </row>
    <row r="48" spans="1:5" x14ac:dyDescent="0.35">
      <c r="A48">
        <v>46</v>
      </c>
      <c r="B48">
        <f>VLOOKUP(Tabla57[[#This Row],[Id]],Tabla5[[Id]:[Escandallo Total]],2,FALSE)</f>
        <v>0</v>
      </c>
      <c r="C48" s="1">
        <f>VLOOKUP(Tabla57[[#This Row],[Id]],Tabla5[[Id]:[Escandallo Total]],4,FALSE)</f>
        <v>0</v>
      </c>
      <c r="D48" s="1">
        <f>Tabla57[[#This Row],[Escandallo Total]]*Datos!$B$2+Tabla57[[#This Row],[Escandallo Total]]</f>
        <v>0</v>
      </c>
      <c r="E48" s="1">
        <f>Tabla57[[#This Row],[Beneficio]]*Datos!$B$1+Tabla57[[#This Row],[Beneficio]]</f>
        <v>0</v>
      </c>
    </row>
    <row r="49" spans="1:5" x14ac:dyDescent="0.35">
      <c r="A49">
        <v>47</v>
      </c>
      <c r="B49">
        <f>VLOOKUP(Tabla57[[#This Row],[Id]],Tabla5[[Id]:[Escandallo Total]],2,FALSE)</f>
        <v>0</v>
      </c>
      <c r="C49" s="1">
        <f>VLOOKUP(Tabla57[[#This Row],[Id]],Tabla5[[Id]:[Escandallo Total]],4,FALSE)</f>
        <v>0</v>
      </c>
      <c r="D49" s="1">
        <f>Tabla57[[#This Row],[Escandallo Total]]*Datos!$B$2+Tabla57[[#This Row],[Escandallo Total]]</f>
        <v>0</v>
      </c>
      <c r="E49" s="1">
        <f>Tabla57[[#This Row],[Beneficio]]*Datos!$B$1+Tabla57[[#This Row],[Beneficio]]</f>
        <v>0</v>
      </c>
    </row>
    <row r="50" spans="1:5" x14ac:dyDescent="0.35">
      <c r="A50">
        <v>48</v>
      </c>
      <c r="B50">
        <f>VLOOKUP(Tabla57[[#This Row],[Id]],Tabla5[[Id]:[Escandallo Total]],2,FALSE)</f>
        <v>0</v>
      </c>
      <c r="C50" s="1">
        <f>VLOOKUP(Tabla57[[#This Row],[Id]],Tabla5[[Id]:[Escandallo Total]],4,FALSE)</f>
        <v>0</v>
      </c>
      <c r="D50" s="1">
        <f>Tabla57[[#This Row],[Escandallo Total]]*Datos!$B$2+Tabla57[[#This Row],[Escandallo Total]]</f>
        <v>0</v>
      </c>
      <c r="E50" s="1">
        <f>Tabla57[[#This Row],[Beneficio]]*Datos!$B$1+Tabla57[[#This Row],[Beneficio]]</f>
        <v>0</v>
      </c>
    </row>
    <row r="51" spans="1:5" x14ac:dyDescent="0.35">
      <c r="A51">
        <v>49</v>
      </c>
      <c r="B51">
        <f>VLOOKUP(Tabla57[[#This Row],[Id]],Tabla5[[Id]:[Escandallo Total]],2,FALSE)</f>
        <v>0</v>
      </c>
      <c r="C51" s="1">
        <f>VLOOKUP(Tabla57[[#This Row],[Id]],Tabla5[[Id]:[Escandallo Total]],4,FALSE)</f>
        <v>0</v>
      </c>
      <c r="D51" s="1">
        <f>Tabla57[[#This Row],[Escandallo Total]]*Datos!$B$2+Tabla57[[#This Row],[Escandallo Total]]</f>
        <v>0</v>
      </c>
      <c r="E51" s="1">
        <f>Tabla57[[#This Row],[Beneficio]]*Datos!$B$1+Tabla57[[#This Row],[Beneficio]]</f>
        <v>0</v>
      </c>
    </row>
    <row r="52" spans="1:5" x14ac:dyDescent="0.35">
      <c r="A52">
        <v>50</v>
      </c>
      <c r="B52">
        <f>VLOOKUP(Tabla57[[#This Row],[Id]],Tabla5[[Id]:[Escandallo Total]],2,FALSE)</f>
        <v>0</v>
      </c>
      <c r="C52" s="1">
        <f>VLOOKUP(Tabla57[[#This Row],[Id]],Tabla5[[Id]:[Escandallo Total]],4,FALSE)</f>
        <v>0</v>
      </c>
      <c r="D52" s="1">
        <f>Tabla57[[#This Row],[Escandallo Total]]*Datos!$B$2+Tabla57[[#This Row],[Escandallo Total]]</f>
        <v>0</v>
      </c>
      <c r="E52" s="1">
        <f>Tabla57[[#This Row],[Beneficio]]*Datos!$B$1+Tabla57[[#This Row],[Beneficio]]</f>
        <v>0</v>
      </c>
    </row>
    <row r="53" spans="1:5" x14ac:dyDescent="0.35">
      <c r="A53">
        <v>51</v>
      </c>
      <c r="B53">
        <f>VLOOKUP(Tabla57[[#This Row],[Id]],Tabla5[[Id]:[Escandallo Total]],2,FALSE)</f>
        <v>0</v>
      </c>
      <c r="C53" s="1">
        <f>VLOOKUP(Tabla57[[#This Row],[Id]],Tabla5[[Id]:[Escandallo Total]],4,FALSE)</f>
        <v>0</v>
      </c>
      <c r="D53" s="1">
        <f>Tabla57[[#This Row],[Escandallo Total]]*Datos!$B$2+Tabla57[[#This Row],[Escandallo Total]]</f>
        <v>0</v>
      </c>
      <c r="E53" s="1">
        <f>Tabla57[[#This Row],[Beneficio]]*Datos!$B$1+Tabla57[[#This Row],[Beneficio]]</f>
        <v>0</v>
      </c>
    </row>
    <row r="54" spans="1:5" x14ac:dyDescent="0.35">
      <c r="A54">
        <v>52</v>
      </c>
      <c r="B54">
        <f>VLOOKUP(Tabla57[[#This Row],[Id]],Tabla5[[Id]:[Escandallo Total]],2,FALSE)</f>
        <v>0</v>
      </c>
      <c r="C54" s="1">
        <f>VLOOKUP(Tabla57[[#This Row],[Id]],Tabla5[[Id]:[Escandallo Total]],4,FALSE)</f>
        <v>0</v>
      </c>
      <c r="D54" s="1">
        <f>Tabla57[[#This Row],[Escandallo Total]]*Datos!$B$2+Tabla57[[#This Row],[Escandallo Total]]</f>
        <v>0</v>
      </c>
      <c r="E54" s="1">
        <f>Tabla57[[#This Row],[Beneficio]]*Datos!$B$1+Tabla57[[#This Row],[Beneficio]]</f>
        <v>0</v>
      </c>
    </row>
    <row r="55" spans="1:5" x14ac:dyDescent="0.35">
      <c r="A55">
        <v>53</v>
      </c>
      <c r="B55">
        <f>VLOOKUP(Tabla57[[#This Row],[Id]],Tabla5[[Id]:[Escandallo Total]],2,FALSE)</f>
        <v>0</v>
      </c>
      <c r="C55" s="1">
        <f>VLOOKUP(Tabla57[[#This Row],[Id]],Tabla5[[Id]:[Escandallo Total]],4,FALSE)</f>
        <v>0</v>
      </c>
      <c r="D55" s="1">
        <f>Tabla57[[#This Row],[Escandallo Total]]*Datos!$B$2+Tabla57[[#This Row],[Escandallo Total]]</f>
        <v>0</v>
      </c>
      <c r="E55" s="1">
        <f>Tabla57[[#This Row],[Beneficio]]*Datos!$B$1+Tabla57[[#This Row],[Beneficio]]</f>
        <v>0</v>
      </c>
    </row>
    <row r="56" spans="1:5" x14ac:dyDescent="0.35">
      <c r="A56">
        <v>54</v>
      </c>
      <c r="B56">
        <f>VLOOKUP(Tabla57[[#This Row],[Id]],Tabla5[[Id]:[Escandallo Total]],2,FALSE)</f>
        <v>0</v>
      </c>
      <c r="C56" s="1">
        <f>VLOOKUP(Tabla57[[#This Row],[Id]],Tabla5[[Id]:[Escandallo Total]],4,FALSE)</f>
        <v>0</v>
      </c>
      <c r="D56" s="1">
        <f>Tabla57[[#This Row],[Escandallo Total]]*Datos!$B$2+Tabla57[[#This Row],[Escandallo Total]]</f>
        <v>0</v>
      </c>
      <c r="E56" s="1">
        <f>Tabla57[[#This Row],[Beneficio]]*Datos!$B$1+Tabla57[[#This Row],[Beneficio]]</f>
        <v>0</v>
      </c>
    </row>
    <row r="57" spans="1:5" x14ac:dyDescent="0.35">
      <c r="A57">
        <v>55</v>
      </c>
      <c r="B57">
        <f>VLOOKUP(Tabla57[[#This Row],[Id]],Tabla5[[Id]:[Escandallo Total]],2,FALSE)</f>
        <v>0</v>
      </c>
      <c r="C57" s="1">
        <f>VLOOKUP(Tabla57[[#This Row],[Id]],Tabla5[[Id]:[Escandallo Total]],4,FALSE)</f>
        <v>0</v>
      </c>
      <c r="D57" s="1">
        <f>Tabla57[[#This Row],[Escandallo Total]]*Datos!$B$2+Tabla57[[#This Row],[Escandallo Total]]</f>
        <v>0</v>
      </c>
      <c r="E57" s="1">
        <f>Tabla57[[#This Row],[Beneficio]]*Datos!$B$1+Tabla57[[#This Row],[Beneficio]]</f>
        <v>0</v>
      </c>
    </row>
    <row r="58" spans="1:5" x14ac:dyDescent="0.35">
      <c r="A58">
        <v>56</v>
      </c>
      <c r="B58">
        <f>VLOOKUP(Tabla57[[#This Row],[Id]],Tabla5[[Id]:[Escandallo Total]],2,FALSE)</f>
        <v>0</v>
      </c>
      <c r="C58" s="1">
        <f>VLOOKUP(Tabla57[[#This Row],[Id]],Tabla5[[Id]:[Escandallo Total]],4,FALSE)</f>
        <v>0</v>
      </c>
      <c r="D58" s="1">
        <f>Tabla57[[#This Row],[Escandallo Total]]*Datos!$B$2+Tabla57[[#This Row],[Escandallo Total]]</f>
        <v>0</v>
      </c>
      <c r="E58" s="1">
        <f>Tabla57[[#This Row],[Beneficio]]*Datos!$B$1+Tabla57[[#This Row],[Beneficio]]</f>
        <v>0</v>
      </c>
    </row>
    <row r="59" spans="1:5" x14ac:dyDescent="0.35">
      <c r="A59">
        <v>57</v>
      </c>
      <c r="B59">
        <f>VLOOKUP(Tabla57[[#This Row],[Id]],Tabla5[[Id]:[Escandallo Total]],2,FALSE)</f>
        <v>0</v>
      </c>
      <c r="C59" s="1">
        <f>VLOOKUP(Tabla57[[#This Row],[Id]],Tabla5[[Id]:[Escandallo Total]],4,FALSE)</f>
        <v>0</v>
      </c>
      <c r="D59" s="1">
        <f>Tabla57[[#This Row],[Escandallo Total]]*Datos!$B$2+Tabla57[[#This Row],[Escandallo Total]]</f>
        <v>0</v>
      </c>
      <c r="E59" s="1">
        <f>Tabla57[[#This Row],[Beneficio]]*Datos!$B$1+Tabla57[[#This Row],[Beneficio]]</f>
        <v>0</v>
      </c>
    </row>
    <row r="60" spans="1:5" x14ac:dyDescent="0.35">
      <c r="A60">
        <v>58</v>
      </c>
      <c r="B60">
        <f>VLOOKUP(Tabla57[[#This Row],[Id]],Tabla5[[Id]:[Escandallo Total]],2,FALSE)</f>
        <v>0</v>
      </c>
      <c r="C60" s="1">
        <f>VLOOKUP(Tabla57[[#This Row],[Id]],Tabla5[[Id]:[Escandallo Total]],4,FALSE)</f>
        <v>0</v>
      </c>
      <c r="D60" s="1">
        <f>Tabla57[[#This Row],[Escandallo Total]]*Datos!$B$2+Tabla57[[#This Row],[Escandallo Total]]</f>
        <v>0</v>
      </c>
      <c r="E60" s="1">
        <f>Tabla57[[#This Row],[Beneficio]]*Datos!$B$1+Tabla57[[#This Row],[Beneficio]]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3665-A644-4338-9A4D-E66F78576A07}">
  <dimension ref="A1:CS60"/>
  <sheetViews>
    <sheetView workbookViewId="0">
      <selection activeCell="AL3" sqref="AL3"/>
    </sheetView>
  </sheetViews>
  <sheetFormatPr baseColWidth="10" defaultRowHeight="14.5" x14ac:dyDescent="0.35"/>
  <cols>
    <col min="4" max="4" width="16.6328125" style="3" bestFit="1" customWidth="1"/>
    <col min="5" max="5" width="17.26953125" customWidth="1"/>
    <col min="7" max="7" width="14.6328125" style="1" customWidth="1"/>
    <col min="8" max="8" width="11.81640625" customWidth="1"/>
    <col min="9" max="9" width="11.7265625" customWidth="1"/>
    <col min="10" max="10" width="11.1796875" style="1" bestFit="1" customWidth="1"/>
    <col min="11" max="11" width="11.81640625" customWidth="1"/>
    <col min="12" max="12" width="11.7265625" customWidth="1"/>
    <col min="14" max="14" width="11.81640625" customWidth="1"/>
    <col min="15" max="15" width="11.7265625" customWidth="1"/>
    <col min="17" max="17" width="11.81640625" customWidth="1"/>
    <col min="18" max="18" width="11.7265625" customWidth="1"/>
    <col min="20" max="20" width="11.81640625" customWidth="1"/>
    <col min="21" max="21" width="11.7265625" customWidth="1"/>
    <col min="23" max="23" width="11.81640625" customWidth="1"/>
    <col min="24" max="24" width="11.7265625" customWidth="1"/>
    <col min="26" max="26" width="11.81640625" customWidth="1"/>
    <col min="27" max="27" width="11.7265625" customWidth="1"/>
    <col min="29" max="29" width="11.81640625" customWidth="1"/>
    <col min="30" max="30" width="11.7265625" customWidth="1"/>
    <col min="32" max="32" width="11.81640625" customWidth="1"/>
    <col min="33" max="33" width="11.7265625" customWidth="1"/>
    <col min="35" max="35" width="12.81640625" customWidth="1"/>
    <col min="36" max="36" width="12.7265625" customWidth="1"/>
    <col min="38" max="38" width="12.81640625" customWidth="1"/>
    <col min="39" max="39" width="12.7265625" customWidth="1"/>
    <col min="41" max="41" width="12.81640625" customWidth="1"/>
    <col min="42" max="42" width="12.7265625" customWidth="1"/>
    <col min="44" max="44" width="12.81640625" customWidth="1"/>
    <col min="45" max="45" width="12.7265625" customWidth="1"/>
    <col min="47" max="47" width="12.81640625" customWidth="1"/>
    <col min="48" max="48" width="12.7265625" customWidth="1"/>
    <col min="50" max="50" width="12.81640625" customWidth="1"/>
    <col min="51" max="51" width="12.7265625" customWidth="1"/>
    <col min="53" max="53" width="12.81640625" customWidth="1"/>
    <col min="54" max="54" width="12.7265625" customWidth="1"/>
    <col min="56" max="56" width="12.81640625" customWidth="1"/>
    <col min="57" max="57" width="12.7265625" customWidth="1"/>
    <col min="59" max="59" width="12.81640625" customWidth="1"/>
    <col min="60" max="60" width="12.7265625" customWidth="1"/>
    <col min="62" max="62" width="12.81640625" customWidth="1"/>
    <col min="63" max="63" width="12.7265625" customWidth="1"/>
    <col min="65" max="65" width="12.81640625" customWidth="1"/>
    <col min="66" max="66" width="12.7265625" customWidth="1"/>
    <col min="68" max="68" width="12.81640625" customWidth="1"/>
    <col min="69" max="69" width="12.7265625" customWidth="1"/>
    <col min="71" max="71" width="12.81640625" customWidth="1"/>
    <col min="72" max="72" width="12.7265625" customWidth="1"/>
    <col min="74" max="74" width="12.81640625" customWidth="1"/>
    <col min="75" max="75" width="12.7265625" customWidth="1"/>
    <col min="77" max="77" width="12.81640625" customWidth="1"/>
    <col min="78" max="78" width="12.7265625" customWidth="1"/>
    <col min="80" max="80" width="12.81640625" customWidth="1"/>
    <col min="81" max="81" width="12.7265625" customWidth="1"/>
    <col min="83" max="83" width="12.81640625" customWidth="1"/>
    <col min="84" max="84" width="12.7265625" customWidth="1"/>
    <col min="86" max="86" width="12.81640625" customWidth="1"/>
    <col min="87" max="87" width="12.7265625" customWidth="1"/>
    <col min="89" max="89" width="12.81640625" customWidth="1"/>
    <col min="90" max="90" width="12.7265625" customWidth="1"/>
    <col min="92" max="92" width="12.81640625" customWidth="1"/>
    <col min="93" max="93" width="12.7265625" customWidth="1"/>
    <col min="95" max="95" width="12.81640625" customWidth="1"/>
    <col min="96" max="96" width="12.7265625" customWidth="1"/>
  </cols>
  <sheetData>
    <row r="1" spans="1:97" x14ac:dyDescent="0.35">
      <c r="A1" t="s">
        <v>5</v>
      </c>
      <c r="B1" t="s">
        <v>116</v>
      </c>
      <c r="C1" t="s">
        <v>22</v>
      </c>
      <c r="D1" s="3" t="s">
        <v>128</v>
      </c>
      <c r="E1" t="s">
        <v>115</v>
      </c>
      <c r="F1" t="s">
        <v>23</v>
      </c>
      <c r="G1" s="1" t="s">
        <v>114</v>
      </c>
      <c r="H1" t="s">
        <v>24</v>
      </c>
      <c r="I1" t="s">
        <v>25</v>
      </c>
      <c r="J1" s="1" t="s">
        <v>84</v>
      </c>
      <c r="K1" t="s">
        <v>26</v>
      </c>
      <c r="L1" t="s">
        <v>27</v>
      </c>
      <c r="M1" t="s">
        <v>85</v>
      </c>
      <c r="N1" t="s">
        <v>28</v>
      </c>
      <c r="O1" t="s">
        <v>29</v>
      </c>
      <c r="P1" t="s">
        <v>86</v>
      </c>
      <c r="Q1" t="s">
        <v>30</v>
      </c>
      <c r="R1" t="s">
        <v>31</v>
      </c>
      <c r="S1" t="s">
        <v>87</v>
      </c>
      <c r="T1" t="s">
        <v>32</v>
      </c>
      <c r="U1" t="s">
        <v>33</v>
      </c>
      <c r="V1" t="s">
        <v>88</v>
      </c>
      <c r="W1" t="s">
        <v>34</v>
      </c>
      <c r="X1" t="s">
        <v>35</v>
      </c>
      <c r="Y1" t="s">
        <v>89</v>
      </c>
      <c r="Z1" t="s">
        <v>36</v>
      </c>
      <c r="AA1" t="s">
        <v>37</v>
      </c>
      <c r="AB1" t="s">
        <v>90</v>
      </c>
      <c r="AC1" t="s">
        <v>38</v>
      </c>
      <c r="AD1" t="s">
        <v>39</v>
      </c>
      <c r="AE1" t="s">
        <v>91</v>
      </c>
      <c r="AF1" t="s">
        <v>40</v>
      </c>
      <c r="AG1" t="s">
        <v>41</v>
      </c>
      <c r="AH1" t="s">
        <v>92</v>
      </c>
      <c r="AI1" t="s">
        <v>42</v>
      </c>
      <c r="AJ1" t="s">
        <v>43</v>
      </c>
      <c r="AK1" t="s">
        <v>93</v>
      </c>
      <c r="AL1" t="s">
        <v>44</v>
      </c>
      <c r="AM1" t="s">
        <v>45</v>
      </c>
      <c r="AN1" t="s">
        <v>94</v>
      </c>
      <c r="AO1" t="s">
        <v>46</v>
      </c>
      <c r="AP1" t="s">
        <v>47</v>
      </c>
      <c r="AQ1" t="s">
        <v>95</v>
      </c>
      <c r="AR1" t="s">
        <v>48</v>
      </c>
      <c r="AS1" t="s">
        <v>49</v>
      </c>
      <c r="AT1" t="s">
        <v>96</v>
      </c>
      <c r="AU1" t="s">
        <v>50</v>
      </c>
      <c r="AV1" t="s">
        <v>51</v>
      </c>
      <c r="AW1" t="s">
        <v>97</v>
      </c>
      <c r="AX1" t="s">
        <v>52</v>
      </c>
      <c r="AY1" t="s">
        <v>53</v>
      </c>
      <c r="AZ1" t="s">
        <v>98</v>
      </c>
      <c r="BA1" t="s">
        <v>54</v>
      </c>
      <c r="BB1" t="s">
        <v>55</v>
      </c>
      <c r="BC1" t="s">
        <v>99</v>
      </c>
      <c r="BD1" t="s">
        <v>56</v>
      </c>
      <c r="BE1" t="s">
        <v>57</v>
      </c>
      <c r="BF1" t="s">
        <v>100</v>
      </c>
      <c r="BG1" t="s">
        <v>58</v>
      </c>
      <c r="BH1" t="s">
        <v>59</v>
      </c>
      <c r="BI1" t="s">
        <v>101</v>
      </c>
      <c r="BJ1" t="s">
        <v>60</v>
      </c>
      <c r="BK1" t="s">
        <v>61</v>
      </c>
      <c r="BL1" t="s">
        <v>102</v>
      </c>
      <c r="BM1" t="s">
        <v>62</v>
      </c>
      <c r="BN1" t="s">
        <v>63</v>
      </c>
      <c r="BO1" t="s">
        <v>103</v>
      </c>
      <c r="BP1" t="s">
        <v>64</v>
      </c>
      <c r="BQ1" t="s">
        <v>65</v>
      </c>
      <c r="BR1" t="s">
        <v>104</v>
      </c>
      <c r="BS1" t="s">
        <v>66</v>
      </c>
      <c r="BT1" t="s">
        <v>67</v>
      </c>
      <c r="BU1" t="s">
        <v>105</v>
      </c>
      <c r="BV1" t="s">
        <v>68</v>
      </c>
      <c r="BW1" t="s">
        <v>69</v>
      </c>
      <c r="BX1" t="s">
        <v>106</v>
      </c>
      <c r="BY1" t="s">
        <v>70</v>
      </c>
      <c r="BZ1" t="s">
        <v>71</v>
      </c>
      <c r="CA1" t="s">
        <v>107</v>
      </c>
      <c r="CB1" t="s">
        <v>72</v>
      </c>
      <c r="CC1" t="s">
        <v>73</v>
      </c>
      <c r="CD1" t="s">
        <v>108</v>
      </c>
      <c r="CE1" t="s">
        <v>74</v>
      </c>
      <c r="CF1" t="s">
        <v>75</v>
      </c>
      <c r="CG1" t="s">
        <v>109</v>
      </c>
      <c r="CH1" t="s">
        <v>76</v>
      </c>
      <c r="CI1" t="s">
        <v>77</v>
      </c>
      <c r="CJ1" t="s">
        <v>110</v>
      </c>
      <c r="CK1" t="s">
        <v>78</v>
      </c>
      <c r="CL1" t="s">
        <v>79</v>
      </c>
      <c r="CM1" t="s">
        <v>111</v>
      </c>
      <c r="CN1" t="s">
        <v>80</v>
      </c>
      <c r="CO1" t="s">
        <v>81</v>
      </c>
      <c r="CP1" t="s">
        <v>112</v>
      </c>
      <c r="CQ1" t="s">
        <v>82</v>
      </c>
      <c r="CR1" t="s">
        <v>83</v>
      </c>
      <c r="CS1" t="s">
        <v>113</v>
      </c>
    </row>
    <row r="2" spans="1:97" x14ac:dyDescent="0.35">
      <c r="A2">
        <v>0</v>
      </c>
      <c r="B2" t="s">
        <v>117</v>
      </c>
      <c r="C2">
        <v>60</v>
      </c>
      <c r="D2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85.724730909090894</v>
      </c>
      <c r="E2" s="1">
        <f>Tabla5[[#This Row],[Minutos]]*Tabla13[[#Totals],[Precio Unitario]]</f>
        <v>4.9715909090909092</v>
      </c>
      <c r="F2" t="s">
        <v>10</v>
      </c>
      <c r="G2" s="1">
        <f>IFERROR(VLOOKUP(Tabla5[[#This Row],[Persona]],Tabla1[[Nombre]:[Ud]],7,FALSE) *Tabla5[[#This Row],[Minutos]],0)</f>
        <v>11.25</v>
      </c>
      <c r="H2" t="s">
        <v>124</v>
      </c>
      <c r="I2">
        <v>20</v>
      </c>
      <c r="J2" s="1">
        <f>IFERROR(VLOOKUP(Tabla5[[#This Row],[Producto 1]],Tabla3[[Nombre]:[Ud]],5,FALSE)*Tabla5[[#This Row],[Cantidad 1]],0)</f>
        <v>1.3803999999999998</v>
      </c>
      <c r="K2" t="s">
        <v>4</v>
      </c>
      <c r="L2">
        <v>21</v>
      </c>
      <c r="M2" s="1">
        <f>IFERROR(VLOOKUP(Tabla5[[#This Row],[Producto 2]],Tabla3[[Nombre]:[Ud]],5,FALSE)*Tabla5[[#This Row],[Cantidad 2]],0)</f>
        <v>1.4494199999999999</v>
      </c>
      <c r="N2" t="s">
        <v>4</v>
      </c>
      <c r="O2">
        <v>21</v>
      </c>
      <c r="P2" s="1">
        <f>IFERROR(VLOOKUP(Tabla5[[#This Row],[Producto 3]],Tabla3[[Nombre]:[Ud]],5,FALSE)*Tabla5[[#This Row],[Cantidad 3]],0)</f>
        <v>1.4494199999999999</v>
      </c>
      <c r="Q2" t="s">
        <v>4</v>
      </c>
      <c r="R2">
        <v>22</v>
      </c>
      <c r="S2" s="1">
        <f>IFERROR(VLOOKUP(Tabla5[[#This Row],[Producto 4]],Tabla3[[Nombre]:[Ud]],5,FALSE)*Tabla5[[#This Row],[Cantidad 4]],0)</f>
        <v>1.51844</v>
      </c>
      <c r="T2" t="s">
        <v>4</v>
      </c>
      <c r="U2">
        <v>23</v>
      </c>
      <c r="V2" s="1">
        <f>IFERROR(VLOOKUP(Tabla5[[#This Row],[Producto 5]],Tabla3[[Nombre]:[Ud]],5,FALSE)*Tabla5[[#This Row],[Cantidad 5]],0)</f>
        <v>1.5874599999999999</v>
      </c>
      <c r="W2" t="s">
        <v>4</v>
      </c>
      <c r="X2">
        <v>24</v>
      </c>
      <c r="Y2" s="1">
        <f>IFERROR(VLOOKUP(Tabla5[[#This Row],[Producto 6]],Tabla3[[Nombre]:[Ud]],5,FALSE)*Tabla5[[#This Row],[Cantidad 6]],0)</f>
        <v>1.65648</v>
      </c>
      <c r="Z2" t="s">
        <v>4</v>
      </c>
      <c r="AA2">
        <v>25</v>
      </c>
      <c r="AB2" s="1">
        <f>IFERROR(VLOOKUP(Tabla5[[#This Row],[Producto 7]],Tabla3[[Nombre]:[Ud]],5,FALSE)*Tabla5[[#This Row],[Cantidad 7]],0)</f>
        <v>1.7255</v>
      </c>
      <c r="AC2" t="s">
        <v>4</v>
      </c>
      <c r="AD2">
        <v>26</v>
      </c>
      <c r="AE2" s="1">
        <f>IFERROR(VLOOKUP(Tabla5[[#This Row],[Producto 8]],Tabla3[[Nombre]:[Ud]],5,FALSE)*Tabla5[[#This Row],[Cantidad 8]],0)</f>
        <v>1.7945199999999999</v>
      </c>
      <c r="AF2" t="s">
        <v>4</v>
      </c>
      <c r="AG2">
        <v>27</v>
      </c>
      <c r="AH2" s="1">
        <f>IFERROR(VLOOKUP(Tabla5[[#This Row],[Producto 9]],Tabla3[[Nombre]:[Ud]],5,FALSE)*Tabla5[[#This Row],[Cantidad 9]],0)</f>
        <v>1.86354</v>
      </c>
      <c r="AI2" t="s">
        <v>4</v>
      </c>
      <c r="AJ2">
        <v>28</v>
      </c>
      <c r="AK2" s="1">
        <f>IFERROR(VLOOKUP(Tabla5[[#This Row],[Producto 10]],Tabla3[[Nombre]:[Ud]],5,FALSE)*Tabla5[[#This Row],[Cantidad 10]],0)</f>
        <v>1.9325600000000001</v>
      </c>
      <c r="AL2" t="s">
        <v>4</v>
      </c>
      <c r="AM2">
        <v>29</v>
      </c>
      <c r="AN2" s="1">
        <f>IFERROR(VLOOKUP(Tabla5[[#This Row],[Producto 11]],Tabla3[[Nombre]:[Ud]],5,FALSE)*Tabla5[[#This Row],[Cantidad 11]],0)</f>
        <v>2.0015800000000001</v>
      </c>
      <c r="AO2" t="s">
        <v>4</v>
      </c>
      <c r="AP2">
        <v>30</v>
      </c>
      <c r="AQ2" s="1">
        <f>IFERROR(VLOOKUP(Tabla5[[#This Row],[Producto 12]],Tabla3[[Nombre]:[Ud]],5,FALSE)*Tabla5[[#This Row],[Cantidad 12]],0)</f>
        <v>2.0705999999999998</v>
      </c>
      <c r="AR2" t="s">
        <v>4</v>
      </c>
      <c r="AS2">
        <v>31</v>
      </c>
      <c r="AT2" s="1">
        <f>IFERROR(VLOOKUP(Tabla5[[#This Row],[Producto 13]],Tabla3[[Nombre]:[Ud]],5,FALSE)*Tabla5[[#This Row],[Cantidad 13]],0)</f>
        <v>2.1396199999999999</v>
      </c>
      <c r="AU2" t="s">
        <v>4</v>
      </c>
      <c r="AV2">
        <v>32</v>
      </c>
      <c r="AW2" s="1">
        <f>IFERROR(VLOOKUP(Tabla5[[#This Row],[Producto 14]],Tabla3[[Nombre]:[Ud]],5,FALSE)*Tabla5[[#This Row],[Cantidad 14]],0)</f>
        <v>2.2086399999999999</v>
      </c>
      <c r="AX2" t="s">
        <v>4</v>
      </c>
      <c r="AY2">
        <v>33</v>
      </c>
      <c r="AZ2" s="1">
        <f>IFERROR(VLOOKUP(Tabla5[[#This Row],[Producto 15]],Tabla3[[Nombre]:[Ud]],5,FALSE)*Tabla5[[#This Row],[Cantidad 15]],0)</f>
        <v>2.27766</v>
      </c>
      <c r="BA2" t="s">
        <v>4</v>
      </c>
      <c r="BB2">
        <v>34</v>
      </c>
      <c r="BC2" s="1">
        <f>IFERROR(VLOOKUP(Tabla5[[#This Row],[Producto 16]],Tabla3[[Nombre]:[Ud]],5,FALSE)*Tabla5[[#This Row],[Cantidad 16]],0)</f>
        <v>2.3466800000000001</v>
      </c>
      <c r="BD2" t="s">
        <v>4</v>
      </c>
      <c r="BE2">
        <v>35</v>
      </c>
      <c r="BF2" s="1">
        <f>IFERROR(VLOOKUP(Tabla5[[#This Row],[Producto 17]],Tabla3[[Nombre]:[Ud]],5,FALSE)*Tabla5[[#This Row],[Cantidad 17]],0)</f>
        <v>2.4156999999999997</v>
      </c>
      <c r="BG2" t="s">
        <v>4</v>
      </c>
      <c r="BH2">
        <v>36</v>
      </c>
      <c r="BI2" s="1">
        <f>IFERROR(VLOOKUP(Tabla5[[#This Row],[Producto 18]],Tabla3[[Nombre]:[Ud]],5,FALSE)*Tabla5[[#This Row],[Cantidad 18]],0)</f>
        <v>2.4847199999999998</v>
      </c>
      <c r="BJ2" t="s">
        <v>4</v>
      </c>
      <c r="BK2">
        <v>37</v>
      </c>
      <c r="BL2" s="1">
        <f>IFERROR(VLOOKUP(Tabla5[[#This Row],[Producto 19]],Tabla3[[Nombre]:[Ud]],5,FALSE)*Tabla5[[#This Row],[Cantidad 19]],0)</f>
        <v>2.5537399999999999</v>
      </c>
      <c r="BM2" t="s">
        <v>4</v>
      </c>
      <c r="BN2">
        <v>38</v>
      </c>
      <c r="BO2" s="1">
        <f>IFERROR(VLOOKUP(Tabla5[[#This Row],[Producto 20]],Tabla3[[Nombre]:[Ud]],5,FALSE)*Tabla5[[#This Row],[Cantidad 20]],0)</f>
        <v>2.62276</v>
      </c>
      <c r="BP2" t="s">
        <v>4</v>
      </c>
      <c r="BQ2">
        <v>39</v>
      </c>
      <c r="BR2" s="1">
        <f>IFERROR(VLOOKUP(Tabla5[[#This Row],[Producto 21]],Tabla3[[Nombre]:[Ud]],5,FALSE)*Tabla5[[#This Row],[Cantidad 21]],0)</f>
        <v>2.6917800000000001</v>
      </c>
      <c r="BS2" t="s">
        <v>4</v>
      </c>
      <c r="BT2">
        <v>40</v>
      </c>
      <c r="BU2" s="1">
        <f>IFERROR(VLOOKUP(Tabla5[[#This Row],[Producto 22]],Tabla3[[Nombre]:[Ud]],5,FALSE)*Tabla5[[#This Row],[Cantidad 22]],0)</f>
        <v>2.7607999999999997</v>
      </c>
      <c r="BV2" t="s">
        <v>4</v>
      </c>
      <c r="BW2">
        <v>41</v>
      </c>
      <c r="BX2" s="1">
        <f>IFERROR(VLOOKUP(Tabla5[[#This Row],[Producto 23]],Tabla3[[Nombre]:[Ud]],5,FALSE)*Tabla5[[#This Row],[Cantidad 23]],0)</f>
        <v>2.8298199999999998</v>
      </c>
      <c r="BY2" t="s">
        <v>4</v>
      </c>
      <c r="BZ2">
        <v>42</v>
      </c>
      <c r="CA2" s="1">
        <f>IFERROR(VLOOKUP(Tabla5[[#This Row],[Producto 24]],Tabla3[[Nombre]:[Ud]],5,FALSE)*Tabla5[[#This Row],[Cantidad 24]],0)</f>
        <v>2.8988399999999999</v>
      </c>
      <c r="CB2" t="s">
        <v>4</v>
      </c>
      <c r="CC2">
        <v>43</v>
      </c>
      <c r="CD2" s="1">
        <f>IFERROR(VLOOKUP(Tabla5[[#This Row],[Producto 25]],Tabla3[[Nombre]:[Ud]],5,FALSE)*Tabla5[[#This Row],[Cantidad 25]],0)</f>
        <v>2.9678599999999999</v>
      </c>
      <c r="CE2" t="s">
        <v>4</v>
      </c>
      <c r="CF2">
        <v>44</v>
      </c>
      <c r="CG2" s="1">
        <f>IFERROR(VLOOKUP(Tabla5[[#This Row],[Producto 26]],Tabla3[[Nombre]:[Ud]],5,FALSE)*Tabla5[[#This Row],[Cantidad 26]],0)</f>
        <v>3.03688</v>
      </c>
      <c r="CH2" t="s">
        <v>4</v>
      </c>
      <c r="CI2">
        <v>45</v>
      </c>
      <c r="CJ2" s="1">
        <f>IFERROR(VLOOKUP(Tabla5[[#This Row],[Producto 27]],Tabla3[[Nombre]:[Ud]],5,FALSE)*Tabla5[[#This Row],[Cantidad 27]],0)</f>
        <v>3.1059000000000001</v>
      </c>
      <c r="CK2" t="s">
        <v>4</v>
      </c>
      <c r="CL2">
        <v>46</v>
      </c>
      <c r="CM2" s="1">
        <f>IFERROR(VLOOKUP(Tabla5[[#This Row],[Producto 28]],Tabla3[[Nombre]:[Ud]],5,FALSE)*Tabla5[[#This Row],[Cantidad 28]],0)</f>
        <v>3.1749199999999997</v>
      </c>
      <c r="CN2" t="s">
        <v>4</v>
      </c>
      <c r="CO2">
        <v>47</v>
      </c>
      <c r="CP2" s="1">
        <f>IFERROR(VLOOKUP(Tabla5[[#This Row],[Producto 29]],Tabla3[[Nombre]:[Ud]],5,FALSE)*Tabla5[[#This Row],[Cantidad 29]],0)</f>
        <v>3.2439399999999998</v>
      </c>
      <c r="CQ2" t="s">
        <v>4</v>
      </c>
      <c r="CR2">
        <v>48</v>
      </c>
      <c r="CS2" s="1">
        <f>IFERROR(VLOOKUP(Tabla5[[#This Row],[Producto 30]],Tabla3[[Nombre]:[Ud]],5,FALSE)*Tabla5[[#This Row],[Cantidad 30]],0)</f>
        <v>3.3129599999999999</v>
      </c>
    </row>
    <row r="3" spans="1:97" x14ac:dyDescent="0.35">
      <c r="A3">
        <v>1</v>
      </c>
      <c r="B3" t="s">
        <v>142</v>
      </c>
      <c r="C3">
        <v>60</v>
      </c>
      <c r="D3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34.712457272727285</v>
      </c>
      <c r="E3" s="1">
        <f>Tabla5[[#This Row],[Minutos]]*Tabla13[[#Totals],[Precio Unitario]]</f>
        <v>4.9715909090909092</v>
      </c>
      <c r="F3" t="s">
        <v>12</v>
      </c>
      <c r="G3" s="1">
        <f>IFERROR(VLOOKUP(Tabla5[[#This Row],[Persona]],Tabla1[[Nombre]:[Ud]],7,FALSE) *Tabla5[[#This Row],[Minutos]],0)</f>
        <v>16.363636363636363</v>
      </c>
      <c r="H3" t="s">
        <v>124</v>
      </c>
      <c r="I3">
        <v>4</v>
      </c>
      <c r="J3" s="1">
        <f>IFERROR(VLOOKUP(Tabla5[[#This Row],[Producto 1]],Tabla3[[Nombre]:[Ud]],5,FALSE)*Tabla5[[#This Row],[Cantidad 1]],0)</f>
        <v>0.27607999999999999</v>
      </c>
      <c r="K3" t="s">
        <v>8</v>
      </c>
      <c r="L3">
        <v>2</v>
      </c>
      <c r="M3" s="1">
        <f>IFERROR(VLOOKUP(Tabla5[[#This Row],[Producto 2]],Tabla3[[Nombre]:[Ud]],5,FALSE)*Tabla5[[#This Row],[Cantidad 2]],0)</f>
        <v>0.154</v>
      </c>
      <c r="N3" t="s">
        <v>119</v>
      </c>
      <c r="O3">
        <v>1</v>
      </c>
      <c r="P3" s="1">
        <f>IFERROR(VLOOKUP(Tabla5[[#This Row],[Producto 3]],Tabla3[[Nombre]:[Ud]],5,FALSE)*Tabla5[[#This Row],[Cantidad 3]],0)</f>
        <v>0.70579999999999998</v>
      </c>
      <c r="Q3" t="s">
        <v>133</v>
      </c>
      <c r="R3">
        <v>2</v>
      </c>
      <c r="S3" s="1">
        <f>IFERROR(VLOOKUP(Tabla5[[#This Row],[Producto 4]],Tabla3[[Nombre]:[Ud]],5,FALSE)*Tabla5[[#This Row],[Cantidad 4]],0)</f>
        <v>7.6</v>
      </c>
      <c r="T3" t="s">
        <v>139</v>
      </c>
      <c r="U3">
        <v>2.5</v>
      </c>
      <c r="V3" s="1">
        <f>IFERROR(VLOOKUP(Tabla5[[#This Row],[Producto 5]],Tabla3[[Nombre]:[Ud]],5,FALSE)*Tabla5[[#This Row],[Cantidad 5]],0)</f>
        <v>1.2914999999999999</v>
      </c>
      <c r="W3" t="s">
        <v>136</v>
      </c>
      <c r="X3">
        <v>2.5</v>
      </c>
      <c r="Y3" s="1">
        <f>IFERROR(VLOOKUP(Tabla5[[#This Row],[Producto 6]],Tabla3[[Nombre]:[Ud]],5,FALSE)*Tabla5[[#This Row],[Cantidad 6]],0)</f>
        <v>1.0550000000000002</v>
      </c>
      <c r="Z3" t="s">
        <v>138</v>
      </c>
      <c r="AA3">
        <v>1</v>
      </c>
      <c r="AB3" s="1">
        <f>IFERROR(VLOOKUP(Tabla5[[#This Row],[Producto 7]],Tabla3[[Nombre]:[Ud]],5,FALSE)*Tabla5[[#This Row],[Cantidad 7]],0)</f>
        <v>1.1955</v>
      </c>
      <c r="AC3" t="s">
        <v>125</v>
      </c>
      <c r="AD3">
        <v>1</v>
      </c>
      <c r="AE3" s="1">
        <f>IFERROR(VLOOKUP(Tabla5[[#This Row],[Producto 8]],Tabla3[[Nombre]:[Ud]],5,FALSE)*Tabla5[[#This Row],[Cantidad 8]],0)</f>
        <v>0.21819999999999998</v>
      </c>
      <c r="AF3" t="s">
        <v>126</v>
      </c>
      <c r="AG3">
        <v>1</v>
      </c>
      <c r="AH3" s="1">
        <f>IFERROR(VLOOKUP(Tabla5[[#This Row],[Producto 9]],Tabla3[[Nombre]:[Ud]],5,FALSE)*Tabla5[[#This Row],[Cantidad 9]],0)</f>
        <v>0.33034999999999998</v>
      </c>
      <c r="AI3" t="s">
        <v>132</v>
      </c>
      <c r="AJ3">
        <v>3</v>
      </c>
      <c r="AK3" s="1">
        <f>IFERROR(VLOOKUP(Tabla5[[#This Row],[Producto 10]],Tabla3[[Nombre]:[Ud]],5,FALSE)*Tabla5[[#This Row],[Cantidad 10]],0)</f>
        <v>0.55079999999999996</v>
      </c>
      <c r="AN3" s="1">
        <f>IFERROR(VLOOKUP(Tabla5[[#This Row],[Producto 11]],Tabla3[[Nombre]:[Ud]],5,FALSE)*Tabla5[[#This Row],[Cantidad 11]],0)</f>
        <v>0</v>
      </c>
      <c r="AQ3" s="1">
        <f>IFERROR(VLOOKUP(Tabla5[[#This Row],[Producto 12]],Tabla3[[Nombre]:[Ud]],5,FALSE)*Tabla5[[#This Row],[Cantidad 12]],0)</f>
        <v>0</v>
      </c>
      <c r="AT3" s="1">
        <f>IFERROR(VLOOKUP(Tabla5[[#This Row],[Producto 13]],Tabla3[[Nombre]:[Ud]],5,FALSE)*Tabla5[[#This Row],[Cantidad 13]],0)</f>
        <v>0</v>
      </c>
      <c r="AW3" s="1">
        <f>IFERROR(VLOOKUP(Tabla5[[#This Row],[Producto 14]],Tabla3[[Nombre]:[Ud]],5,FALSE)*Tabla5[[#This Row],[Cantidad 14]],0)</f>
        <v>0</v>
      </c>
      <c r="AZ3" s="1">
        <f>IFERROR(VLOOKUP(Tabla5[[#This Row],[Producto 15]],Tabla3[[Nombre]:[Ud]],5,FALSE)*Tabla5[[#This Row],[Cantidad 15]],0)</f>
        <v>0</v>
      </c>
      <c r="BC3" s="1">
        <f>IFERROR(VLOOKUP(Tabla5[[#This Row],[Producto 16]],Tabla3[[Nombre]:[Ud]],5,FALSE)*Tabla5[[#This Row],[Cantidad 16]],0)</f>
        <v>0</v>
      </c>
      <c r="BF3" s="1">
        <f>IFERROR(VLOOKUP(Tabla5[[#This Row],[Producto 17]],Tabla3[[Nombre]:[Ud]],5,FALSE)*Tabla5[[#This Row],[Cantidad 17]],0)</f>
        <v>0</v>
      </c>
      <c r="BI3" s="1">
        <f>IFERROR(VLOOKUP(Tabla5[[#This Row],[Producto 18]],Tabla3[[Nombre]:[Ud]],5,FALSE)*Tabla5[[#This Row],[Cantidad 18]],0)</f>
        <v>0</v>
      </c>
      <c r="BL3" s="1">
        <f>IFERROR(VLOOKUP(Tabla5[[#This Row],[Producto 19]],Tabla3[[Nombre]:[Ud]],5,FALSE)*Tabla5[[#This Row],[Cantidad 19]],0)</f>
        <v>0</v>
      </c>
      <c r="BO3" s="1">
        <f>IFERROR(VLOOKUP(Tabla5[[#This Row],[Producto 20]],Tabla3[[Nombre]:[Ud]],5,FALSE)*Tabla5[[#This Row],[Cantidad 20]],0)</f>
        <v>0</v>
      </c>
      <c r="BR3" s="1">
        <f>IFERROR(VLOOKUP(Tabla5[[#This Row],[Producto 21]],Tabla3[[Nombre]:[Ud]],5,FALSE)*Tabla5[[#This Row],[Cantidad 21]],0)</f>
        <v>0</v>
      </c>
      <c r="BU3" s="1">
        <f>IFERROR(VLOOKUP(Tabla5[[#This Row],[Producto 22]],Tabla3[[Nombre]:[Ud]],5,FALSE)*Tabla5[[#This Row],[Cantidad 22]],0)</f>
        <v>0</v>
      </c>
      <c r="BX3" s="1">
        <f>IFERROR(VLOOKUP(Tabla5[[#This Row],[Producto 23]],Tabla3[[Nombre]:[Ud]],5,FALSE)*Tabla5[[#This Row],[Cantidad 23]],0)</f>
        <v>0</v>
      </c>
      <c r="CA3" s="1">
        <f>IFERROR(VLOOKUP(Tabla5[[#This Row],[Producto 24]],Tabla3[[Nombre]:[Ud]],5,FALSE)*Tabla5[[#This Row],[Cantidad 24]],0)</f>
        <v>0</v>
      </c>
      <c r="CD3" s="1">
        <f>IFERROR(VLOOKUP(Tabla5[[#This Row],[Producto 25]],Tabla3[[Nombre]:[Ud]],5,FALSE)*Tabla5[[#This Row],[Cantidad 25]],0)</f>
        <v>0</v>
      </c>
      <c r="CG3" s="1">
        <f>IFERROR(VLOOKUP(Tabla5[[#This Row],[Producto 26]],Tabla3[[Nombre]:[Ud]],5,FALSE)*Tabla5[[#This Row],[Cantidad 26]],0)</f>
        <v>0</v>
      </c>
      <c r="CJ3" s="1">
        <f>IFERROR(VLOOKUP(Tabla5[[#This Row],[Producto 27]],Tabla3[[Nombre]:[Ud]],5,FALSE)*Tabla5[[#This Row],[Cantidad 27]],0)</f>
        <v>0</v>
      </c>
      <c r="CM3" s="1">
        <f>IFERROR(VLOOKUP(Tabla5[[#This Row],[Producto 28]],Tabla3[[Nombre]:[Ud]],5,FALSE)*Tabla5[[#This Row],[Cantidad 28]],0)</f>
        <v>0</v>
      </c>
      <c r="CP3" s="1">
        <f>IFERROR(VLOOKUP(Tabla5[[#This Row],[Producto 29]],Tabla3[[Nombre]:[Ud]],5,FALSE)*Tabla5[[#This Row],[Cantidad 29]],0)</f>
        <v>0</v>
      </c>
      <c r="CS3" s="1">
        <f>IFERROR(VLOOKUP(Tabla5[[#This Row],[Producto 30]],Tabla3[[Nombre]:[Ud]],5,FALSE)*Tabla5[[#This Row],[Cantidad 30]],0)</f>
        <v>0</v>
      </c>
    </row>
    <row r="4" spans="1:97" x14ac:dyDescent="0.35">
      <c r="A4">
        <v>2</v>
      </c>
      <c r="D4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4" s="1">
        <f>Tabla5[[#This Row],[Minutos]]*Tabla13[[#Totals],[Precio Unitario]]</f>
        <v>0</v>
      </c>
      <c r="G4" s="1">
        <f>IFERROR(VLOOKUP(Tabla5[[#This Row],[Persona]],Tabla1[[Nombre]:[Ud]],7,FALSE) *Tabla5[[#This Row],[Minutos]],0)</f>
        <v>0</v>
      </c>
      <c r="J4" s="1">
        <f>IFERROR(VLOOKUP(Tabla5[[#This Row],[Producto 1]],Tabla3[[Nombre]:[Ud]],5,FALSE)*Tabla5[[#This Row],[Cantidad 1]],0)</f>
        <v>0</v>
      </c>
      <c r="M4" s="1">
        <f>IFERROR(VLOOKUP(Tabla5[[#This Row],[Producto 2]],Tabla3[[Nombre]:[Ud]],5,FALSE)*Tabla5[[#This Row],[Cantidad 2]],0)</f>
        <v>0</v>
      </c>
      <c r="P4" s="1">
        <f>IFERROR(VLOOKUP(Tabla5[[#This Row],[Producto 3]],Tabla3[[Nombre]:[Ud]],5,FALSE)*Tabla5[[#This Row],[Cantidad 3]],0)</f>
        <v>0</v>
      </c>
      <c r="S4" s="1">
        <f>IFERROR(VLOOKUP(Tabla5[[#This Row],[Producto 4]],Tabla3[[Nombre]:[Ud]],5,FALSE)*Tabla5[[#This Row],[Cantidad 4]],0)</f>
        <v>0</v>
      </c>
      <c r="V4" s="1">
        <f>IFERROR(VLOOKUP(Tabla5[[#This Row],[Producto 5]],Tabla3[[Nombre]:[Ud]],5,FALSE)*Tabla5[[#This Row],[Cantidad 5]],0)</f>
        <v>0</v>
      </c>
      <c r="Y4" s="1">
        <f>IFERROR(VLOOKUP(Tabla5[[#This Row],[Producto 6]],Tabla3[[Nombre]:[Ud]],5,FALSE)*Tabla5[[#This Row],[Cantidad 6]],0)</f>
        <v>0</v>
      </c>
      <c r="AB4" s="1">
        <f>IFERROR(VLOOKUP(Tabla5[[#This Row],[Producto 7]],Tabla3[[Nombre]:[Ud]],5,FALSE)*Tabla5[[#This Row],[Cantidad 7]],0)</f>
        <v>0</v>
      </c>
      <c r="AE4" s="1">
        <f>IFERROR(VLOOKUP(Tabla5[[#This Row],[Producto 8]],Tabla3[[Nombre]:[Ud]],5,FALSE)*Tabla5[[#This Row],[Cantidad 8]],0)</f>
        <v>0</v>
      </c>
      <c r="AH4" s="1">
        <f>IFERROR(VLOOKUP(Tabla5[[#This Row],[Producto 9]],Tabla3[[Nombre]:[Ud]],5,FALSE)*Tabla5[[#This Row],[Cantidad 9]],0)</f>
        <v>0</v>
      </c>
      <c r="AK4" s="1">
        <f>IFERROR(VLOOKUP(Tabla5[[#This Row],[Producto 10]],Tabla3[[Nombre]:[Ud]],5,FALSE)*Tabla5[[#This Row],[Cantidad 10]],0)</f>
        <v>0</v>
      </c>
      <c r="AN4" s="1">
        <f>IFERROR(VLOOKUP(Tabla5[[#This Row],[Producto 11]],Tabla3[[Nombre]:[Ud]],5,FALSE)*Tabla5[[#This Row],[Cantidad 11]],0)</f>
        <v>0</v>
      </c>
      <c r="AQ4" s="1">
        <f>IFERROR(VLOOKUP(Tabla5[[#This Row],[Producto 12]],Tabla3[[Nombre]:[Ud]],5,FALSE)*Tabla5[[#This Row],[Cantidad 12]],0)</f>
        <v>0</v>
      </c>
      <c r="AT4" s="1">
        <f>IFERROR(VLOOKUP(Tabla5[[#This Row],[Producto 13]],Tabla3[[Nombre]:[Ud]],5,FALSE)*Tabla5[[#This Row],[Cantidad 13]],0)</f>
        <v>0</v>
      </c>
      <c r="AW4" s="1">
        <f>IFERROR(VLOOKUP(Tabla5[[#This Row],[Producto 14]],Tabla3[[Nombre]:[Ud]],5,FALSE)*Tabla5[[#This Row],[Cantidad 14]],0)</f>
        <v>0</v>
      </c>
      <c r="AZ4" s="1">
        <f>IFERROR(VLOOKUP(Tabla5[[#This Row],[Producto 15]],Tabla3[[Nombre]:[Ud]],5,FALSE)*Tabla5[[#This Row],[Cantidad 15]],0)</f>
        <v>0</v>
      </c>
      <c r="BC4" s="1">
        <f>IFERROR(VLOOKUP(Tabla5[[#This Row],[Producto 16]],Tabla3[[Nombre]:[Ud]],5,FALSE)*Tabla5[[#This Row],[Cantidad 16]],0)</f>
        <v>0</v>
      </c>
      <c r="BF4" s="1">
        <f>IFERROR(VLOOKUP(Tabla5[[#This Row],[Producto 17]],Tabla3[[Nombre]:[Ud]],5,FALSE)*Tabla5[[#This Row],[Cantidad 17]],0)</f>
        <v>0</v>
      </c>
      <c r="BI4" s="1">
        <f>IFERROR(VLOOKUP(Tabla5[[#This Row],[Producto 18]],Tabla3[[Nombre]:[Ud]],5,FALSE)*Tabla5[[#This Row],[Cantidad 18]],0)</f>
        <v>0</v>
      </c>
      <c r="BL4" s="1">
        <f>IFERROR(VLOOKUP(Tabla5[[#This Row],[Producto 19]],Tabla3[[Nombre]:[Ud]],5,FALSE)*Tabla5[[#This Row],[Cantidad 19]],0)</f>
        <v>0</v>
      </c>
      <c r="BO4" s="1">
        <f>IFERROR(VLOOKUP(Tabla5[[#This Row],[Producto 20]],Tabla3[[Nombre]:[Ud]],5,FALSE)*Tabla5[[#This Row],[Cantidad 20]],0)</f>
        <v>0</v>
      </c>
      <c r="BR4" s="1">
        <f>IFERROR(VLOOKUP(Tabla5[[#This Row],[Producto 21]],Tabla3[[Nombre]:[Ud]],5,FALSE)*Tabla5[[#This Row],[Cantidad 21]],0)</f>
        <v>0</v>
      </c>
      <c r="BU4" s="1">
        <f>IFERROR(VLOOKUP(Tabla5[[#This Row],[Producto 22]],Tabla3[[Nombre]:[Ud]],5,FALSE)*Tabla5[[#This Row],[Cantidad 22]],0)</f>
        <v>0</v>
      </c>
      <c r="BX4" s="1">
        <f>IFERROR(VLOOKUP(Tabla5[[#This Row],[Producto 23]],Tabla3[[Nombre]:[Ud]],5,FALSE)*Tabla5[[#This Row],[Cantidad 23]],0)</f>
        <v>0</v>
      </c>
      <c r="CA4" s="1">
        <f>IFERROR(VLOOKUP(Tabla5[[#This Row],[Producto 24]],Tabla3[[Nombre]:[Ud]],5,FALSE)*Tabla5[[#This Row],[Cantidad 24]],0)</f>
        <v>0</v>
      </c>
      <c r="CD4" s="1">
        <f>IFERROR(VLOOKUP(Tabla5[[#This Row],[Producto 25]],Tabla3[[Nombre]:[Ud]],5,FALSE)*Tabla5[[#This Row],[Cantidad 25]],0)</f>
        <v>0</v>
      </c>
      <c r="CG4" s="1">
        <f>IFERROR(VLOOKUP(Tabla5[[#This Row],[Producto 26]],Tabla3[[Nombre]:[Ud]],5,FALSE)*Tabla5[[#This Row],[Cantidad 26]],0)</f>
        <v>0</v>
      </c>
      <c r="CJ4" s="1">
        <f>IFERROR(VLOOKUP(Tabla5[[#This Row],[Producto 27]],Tabla3[[Nombre]:[Ud]],5,FALSE)*Tabla5[[#This Row],[Cantidad 27]],0)</f>
        <v>0</v>
      </c>
      <c r="CM4" s="1">
        <f>IFERROR(VLOOKUP(Tabla5[[#This Row],[Producto 28]],Tabla3[[Nombre]:[Ud]],5,FALSE)*Tabla5[[#This Row],[Cantidad 28]],0)</f>
        <v>0</v>
      </c>
      <c r="CP4" s="1">
        <f>IFERROR(VLOOKUP(Tabla5[[#This Row],[Producto 29]],Tabla3[[Nombre]:[Ud]],5,FALSE)*Tabla5[[#This Row],[Cantidad 29]],0)</f>
        <v>0</v>
      </c>
      <c r="CS4" s="1">
        <f>IFERROR(VLOOKUP(Tabla5[[#This Row],[Producto 30]],Tabla3[[Nombre]:[Ud]],5,FALSE)*Tabla5[[#This Row],[Cantidad 30]],0)</f>
        <v>0</v>
      </c>
    </row>
    <row r="5" spans="1:97" x14ac:dyDescent="0.35">
      <c r="A5">
        <v>3</v>
      </c>
      <c r="D5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5" s="1">
        <f>Tabla5[[#This Row],[Minutos]]*Tabla13[[#Totals],[Precio Unitario]]</f>
        <v>0</v>
      </c>
      <c r="G5" s="1">
        <f>IFERROR(VLOOKUP(Tabla5[[#This Row],[Persona]],Tabla1[[Nombre]:[Ud]],7,FALSE) *Tabla5[[#This Row],[Minutos]],0)</f>
        <v>0</v>
      </c>
      <c r="J5" s="1">
        <f>IFERROR(VLOOKUP(Tabla5[[#This Row],[Producto 1]],Tabla3[[Nombre]:[Ud]],5,FALSE)*Tabla5[[#This Row],[Cantidad 1]],0)</f>
        <v>0</v>
      </c>
      <c r="M5" s="1">
        <f>IFERROR(VLOOKUP(Tabla5[[#This Row],[Producto 2]],Tabla3[[Nombre]:[Ud]],5,FALSE)*Tabla5[[#This Row],[Cantidad 2]],0)</f>
        <v>0</v>
      </c>
      <c r="P5" s="1">
        <f>IFERROR(VLOOKUP(Tabla5[[#This Row],[Producto 3]],Tabla3[[Nombre]:[Ud]],5,FALSE)*Tabla5[[#This Row],[Cantidad 3]],0)</f>
        <v>0</v>
      </c>
      <c r="S5" s="1">
        <f>IFERROR(VLOOKUP(Tabla5[[#This Row],[Producto 4]],Tabla3[[Nombre]:[Ud]],5,FALSE)*Tabla5[[#This Row],[Cantidad 4]],0)</f>
        <v>0</v>
      </c>
      <c r="V5" s="1">
        <f>IFERROR(VLOOKUP(Tabla5[[#This Row],[Producto 5]],Tabla3[[Nombre]:[Ud]],5,FALSE)*Tabla5[[#This Row],[Cantidad 5]],0)</f>
        <v>0</v>
      </c>
      <c r="Y5" s="1">
        <f>IFERROR(VLOOKUP(Tabla5[[#This Row],[Producto 6]],Tabla3[[Nombre]:[Ud]],5,FALSE)*Tabla5[[#This Row],[Cantidad 6]],0)</f>
        <v>0</v>
      </c>
      <c r="AB5" s="1">
        <f>IFERROR(VLOOKUP(Tabla5[[#This Row],[Producto 7]],Tabla3[[Nombre]:[Ud]],5,FALSE)*Tabla5[[#This Row],[Cantidad 7]],0)</f>
        <v>0</v>
      </c>
      <c r="AE5" s="1">
        <f>IFERROR(VLOOKUP(Tabla5[[#This Row],[Producto 8]],Tabla3[[Nombre]:[Ud]],5,FALSE)*Tabla5[[#This Row],[Cantidad 8]],0)</f>
        <v>0</v>
      </c>
      <c r="AH5" s="1">
        <f>IFERROR(VLOOKUP(Tabla5[[#This Row],[Producto 9]],Tabla3[[Nombre]:[Ud]],5,FALSE)*Tabla5[[#This Row],[Cantidad 9]],0)</f>
        <v>0</v>
      </c>
      <c r="AK5" s="1">
        <f>IFERROR(VLOOKUP(Tabla5[[#This Row],[Producto 10]],Tabla3[[Nombre]:[Ud]],5,FALSE)*Tabla5[[#This Row],[Cantidad 10]],0)</f>
        <v>0</v>
      </c>
      <c r="AN5" s="1">
        <f>IFERROR(VLOOKUP(Tabla5[[#This Row],[Producto 11]],Tabla3[[Nombre]:[Ud]],5,FALSE)*Tabla5[[#This Row],[Cantidad 11]],0)</f>
        <v>0</v>
      </c>
      <c r="AQ5" s="1">
        <f>IFERROR(VLOOKUP(Tabla5[[#This Row],[Producto 12]],Tabla3[[Nombre]:[Ud]],5,FALSE)*Tabla5[[#This Row],[Cantidad 12]],0)</f>
        <v>0</v>
      </c>
      <c r="AT5" s="1">
        <f>IFERROR(VLOOKUP(Tabla5[[#This Row],[Producto 13]],Tabla3[[Nombre]:[Ud]],5,FALSE)*Tabla5[[#This Row],[Cantidad 13]],0)</f>
        <v>0</v>
      </c>
      <c r="AW5" s="1">
        <f>IFERROR(VLOOKUP(Tabla5[[#This Row],[Producto 14]],Tabla3[[Nombre]:[Ud]],5,FALSE)*Tabla5[[#This Row],[Cantidad 14]],0)</f>
        <v>0</v>
      </c>
      <c r="AZ5" s="1">
        <f>IFERROR(VLOOKUP(Tabla5[[#This Row],[Producto 15]],Tabla3[[Nombre]:[Ud]],5,FALSE)*Tabla5[[#This Row],[Cantidad 15]],0)</f>
        <v>0</v>
      </c>
      <c r="BC5" s="1">
        <f>IFERROR(VLOOKUP(Tabla5[[#This Row],[Producto 16]],Tabla3[[Nombre]:[Ud]],5,FALSE)*Tabla5[[#This Row],[Cantidad 16]],0)</f>
        <v>0</v>
      </c>
      <c r="BF5" s="1">
        <f>IFERROR(VLOOKUP(Tabla5[[#This Row],[Producto 17]],Tabla3[[Nombre]:[Ud]],5,FALSE)*Tabla5[[#This Row],[Cantidad 17]],0)</f>
        <v>0</v>
      </c>
      <c r="BI5" s="1">
        <f>IFERROR(VLOOKUP(Tabla5[[#This Row],[Producto 18]],Tabla3[[Nombre]:[Ud]],5,FALSE)*Tabla5[[#This Row],[Cantidad 18]],0)</f>
        <v>0</v>
      </c>
      <c r="BL5" s="1">
        <f>IFERROR(VLOOKUP(Tabla5[[#This Row],[Producto 19]],Tabla3[[Nombre]:[Ud]],5,FALSE)*Tabla5[[#This Row],[Cantidad 19]],0)</f>
        <v>0</v>
      </c>
      <c r="BO5" s="1">
        <f>IFERROR(VLOOKUP(Tabla5[[#This Row],[Producto 20]],Tabla3[[Nombre]:[Ud]],5,FALSE)*Tabla5[[#This Row],[Cantidad 20]],0)</f>
        <v>0</v>
      </c>
      <c r="BR5" s="1">
        <f>IFERROR(VLOOKUP(Tabla5[[#This Row],[Producto 21]],Tabla3[[Nombre]:[Ud]],5,FALSE)*Tabla5[[#This Row],[Cantidad 21]],0)</f>
        <v>0</v>
      </c>
      <c r="BU5" s="1">
        <f>IFERROR(VLOOKUP(Tabla5[[#This Row],[Producto 22]],Tabla3[[Nombre]:[Ud]],5,FALSE)*Tabla5[[#This Row],[Cantidad 22]],0)</f>
        <v>0</v>
      </c>
      <c r="BX5" s="1">
        <f>IFERROR(VLOOKUP(Tabla5[[#This Row],[Producto 23]],Tabla3[[Nombre]:[Ud]],5,FALSE)*Tabla5[[#This Row],[Cantidad 23]],0)</f>
        <v>0</v>
      </c>
      <c r="CA5" s="1">
        <f>IFERROR(VLOOKUP(Tabla5[[#This Row],[Producto 24]],Tabla3[[Nombre]:[Ud]],5,FALSE)*Tabla5[[#This Row],[Cantidad 24]],0)</f>
        <v>0</v>
      </c>
      <c r="CD5" s="1">
        <f>IFERROR(VLOOKUP(Tabla5[[#This Row],[Producto 25]],Tabla3[[Nombre]:[Ud]],5,FALSE)*Tabla5[[#This Row],[Cantidad 25]],0)</f>
        <v>0</v>
      </c>
      <c r="CG5" s="1">
        <f>IFERROR(VLOOKUP(Tabla5[[#This Row],[Producto 26]],Tabla3[[Nombre]:[Ud]],5,FALSE)*Tabla5[[#This Row],[Cantidad 26]],0)</f>
        <v>0</v>
      </c>
      <c r="CJ5" s="1">
        <f>IFERROR(VLOOKUP(Tabla5[[#This Row],[Producto 27]],Tabla3[[Nombre]:[Ud]],5,FALSE)*Tabla5[[#This Row],[Cantidad 27]],0)</f>
        <v>0</v>
      </c>
      <c r="CM5" s="1">
        <f>IFERROR(VLOOKUP(Tabla5[[#This Row],[Producto 28]],Tabla3[[Nombre]:[Ud]],5,FALSE)*Tabla5[[#This Row],[Cantidad 28]],0)</f>
        <v>0</v>
      </c>
      <c r="CP5" s="1">
        <f>IFERROR(VLOOKUP(Tabla5[[#This Row],[Producto 29]],Tabla3[[Nombre]:[Ud]],5,FALSE)*Tabla5[[#This Row],[Cantidad 29]],0)</f>
        <v>0</v>
      </c>
      <c r="CS5" s="1">
        <f>IFERROR(VLOOKUP(Tabla5[[#This Row],[Producto 30]],Tabla3[[Nombre]:[Ud]],5,FALSE)*Tabla5[[#This Row],[Cantidad 30]],0)</f>
        <v>0</v>
      </c>
    </row>
    <row r="6" spans="1:97" x14ac:dyDescent="0.35">
      <c r="A6">
        <v>4</v>
      </c>
      <c r="D6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6" s="1">
        <f>Tabla5[[#This Row],[Minutos]]*Tabla13[[#Totals],[Precio Unitario]]</f>
        <v>0</v>
      </c>
      <c r="G6" s="1">
        <f>IFERROR(VLOOKUP(Tabla5[[#This Row],[Persona]],Tabla1[[Nombre]:[Ud]],7,FALSE) *Tabla5[[#This Row],[Minutos]],0)</f>
        <v>0</v>
      </c>
      <c r="J6" s="1">
        <f>IFERROR(VLOOKUP(Tabla5[[#This Row],[Producto 1]],Tabla3[[Nombre]:[Ud]],5,FALSE)*Tabla5[[#This Row],[Cantidad 1]],0)</f>
        <v>0</v>
      </c>
      <c r="M6" s="1">
        <f>IFERROR(VLOOKUP(Tabla5[[#This Row],[Producto 2]],Tabla3[[Nombre]:[Ud]],5,FALSE)*Tabla5[[#This Row],[Cantidad 2]],0)</f>
        <v>0</v>
      </c>
      <c r="P6" s="1">
        <f>IFERROR(VLOOKUP(Tabla5[[#This Row],[Producto 3]],Tabla3[[Nombre]:[Ud]],5,FALSE)*Tabla5[[#This Row],[Cantidad 3]],0)</f>
        <v>0</v>
      </c>
      <c r="S6" s="1">
        <f>IFERROR(VLOOKUP(Tabla5[[#This Row],[Producto 4]],Tabla3[[Nombre]:[Ud]],5,FALSE)*Tabla5[[#This Row],[Cantidad 4]],0)</f>
        <v>0</v>
      </c>
      <c r="V6" s="1">
        <f>IFERROR(VLOOKUP(Tabla5[[#This Row],[Producto 5]],Tabla3[[Nombre]:[Ud]],5,FALSE)*Tabla5[[#This Row],[Cantidad 5]],0)</f>
        <v>0</v>
      </c>
      <c r="Y6" s="1">
        <f>IFERROR(VLOOKUP(Tabla5[[#This Row],[Producto 6]],Tabla3[[Nombre]:[Ud]],5,FALSE)*Tabla5[[#This Row],[Cantidad 6]],0)</f>
        <v>0</v>
      </c>
      <c r="AB6" s="1">
        <f>IFERROR(VLOOKUP(Tabla5[[#This Row],[Producto 7]],Tabla3[[Nombre]:[Ud]],5,FALSE)*Tabla5[[#This Row],[Cantidad 7]],0)</f>
        <v>0</v>
      </c>
      <c r="AE6" s="1">
        <f>IFERROR(VLOOKUP(Tabla5[[#This Row],[Producto 8]],Tabla3[[Nombre]:[Ud]],5,FALSE)*Tabla5[[#This Row],[Cantidad 8]],0)</f>
        <v>0</v>
      </c>
      <c r="AH6" s="1">
        <f>IFERROR(VLOOKUP(Tabla5[[#This Row],[Producto 9]],Tabla3[[Nombre]:[Ud]],5,FALSE)*Tabla5[[#This Row],[Cantidad 9]],0)</f>
        <v>0</v>
      </c>
      <c r="AK6" s="1">
        <f>IFERROR(VLOOKUP(Tabla5[[#This Row],[Producto 10]],Tabla3[[Nombre]:[Ud]],5,FALSE)*Tabla5[[#This Row],[Cantidad 10]],0)</f>
        <v>0</v>
      </c>
      <c r="AN6" s="1">
        <f>IFERROR(VLOOKUP(Tabla5[[#This Row],[Producto 11]],Tabla3[[Nombre]:[Ud]],5,FALSE)*Tabla5[[#This Row],[Cantidad 11]],0)</f>
        <v>0</v>
      </c>
      <c r="AQ6" s="1">
        <f>IFERROR(VLOOKUP(Tabla5[[#This Row],[Producto 12]],Tabla3[[Nombre]:[Ud]],5,FALSE)*Tabla5[[#This Row],[Cantidad 12]],0)</f>
        <v>0</v>
      </c>
      <c r="AT6" s="1">
        <f>IFERROR(VLOOKUP(Tabla5[[#This Row],[Producto 13]],Tabla3[[Nombre]:[Ud]],5,FALSE)*Tabla5[[#This Row],[Cantidad 13]],0)</f>
        <v>0</v>
      </c>
      <c r="AW6" s="1">
        <f>IFERROR(VLOOKUP(Tabla5[[#This Row],[Producto 14]],Tabla3[[Nombre]:[Ud]],5,FALSE)*Tabla5[[#This Row],[Cantidad 14]],0)</f>
        <v>0</v>
      </c>
      <c r="AZ6" s="1">
        <f>IFERROR(VLOOKUP(Tabla5[[#This Row],[Producto 15]],Tabla3[[Nombre]:[Ud]],5,FALSE)*Tabla5[[#This Row],[Cantidad 15]],0)</f>
        <v>0</v>
      </c>
      <c r="BC6" s="1">
        <f>IFERROR(VLOOKUP(Tabla5[[#This Row],[Producto 16]],Tabla3[[Nombre]:[Ud]],5,FALSE)*Tabla5[[#This Row],[Cantidad 16]],0)</f>
        <v>0</v>
      </c>
      <c r="BF6" s="1">
        <f>IFERROR(VLOOKUP(Tabla5[[#This Row],[Producto 17]],Tabla3[[Nombre]:[Ud]],5,FALSE)*Tabla5[[#This Row],[Cantidad 17]],0)</f>
        <v>0</v>
      </c>
      <c r="BI6" s="1">
        <f>IFERROR(VLOOKUP(Tabla5[[#This Row],[Producto 18]],Tabla3[[Nombre]:[Ud]],5,FALSE)*Tabla5[[#This Row],[Cantidad 18]],0)</f>
        <v>0</v>
      </c>
      <c r="BL6" s="1">
        <f>IFERROR(VLOOKUP(Tabla5[[#This Row],[Producto 19]],Tabla3[[Nombre]:[Ud]],5,FALSE)*Tabla5[[#This Row],[Cantidad 19]],0)</f>
        <v>0</v>
      </c>
      <c r="BO6" s="1">
        <f>IFERROR(VLOOKUP(Tabla5[[#This Row],[Producto 20]],Tabla3[[Nombre]:[Ud]],5,FALSE)*Tabla5[[#This Row],[Cantidad 20]],0)</f>
        <v>0</v>
      </c>
      <c r="BR6" s="1">
        <f>IFERROR(VLOOKUP(Tabla5[[#This Row],[Producto 21]],Tabla3[[Nombre]:[Ud]],5,FALSE)*Tabla5[[#This Row],[Cantidad 21]],0)</f>
        <v>0</v>
      </c>
      <c r="BU6" s="1">
        <f>IFERROR(VLOOKUP(Tabla5[[#This Row],[Producto 22]],Tabla3[[Nombre]:[Ud]],5,FALSE)*Tabla5[[#This Row],[Cantidad 22]],0)</f>
        <v>0</v>
      </c>
      <c r="BX6" s="1">
        <f>IFERROR(VLOOKUP(Tabla5[[#This Row],[Producto 23]],Tabla3[[Nombre]:[Ud]],5,FALSE)*Tabla5[[#This Row],[Cantidad 23]],0)</f>
        <v>0</v>
      </c>
      <c r="CA6" s="1">
        <f>IFERROR(VLOOKUP(Tabla5[[#This Row],[Producto 24]],Tabla3[[Nombre]:[Ud]],5,FALSE)*Tabla5[[#This Row],[Cantidad 24]],0)</f>
        <v>0</v>
      </c>
      <c r="CD6" s="1">
        <f>IFERROR(VLOOKUP(Tabla5[[#This Row],[Producto 25]],Tabla3[[Nombre]:[Ud]],5,FALSE)*Tabla5[[#This Row],[Cantidad 25]],0)</f>
        <v>0</v>
      </c>
      <c r="CG6" s="1">
        <f>IFERROR(VLOOKUP(Tabla5[[#This Row],[Producto 26]],Tabla3[[Nombre]:[Ud]],5,FALSE)*Tabla5[[#This Row],[Cantidad 26]],0)</f>
        <v>0</v>
      </c>
      <c r="CJ6" s="1">
        <f>IFERROR(VLOOKUP(Tabla5[[#This Row],[Producto 27]],Tabla3[[Nombre]:[Ud]],5,FALSE)*Tabla5[[#This Row],[Cantidad 27]],0)</f>
        <v>0</v>
      </c>
      <c r="CM6" s="1">
        <f>IFERROR(VLOOKUP(Tabla5[[#This Row],[Producto 28]],Tabla3[[Nombre]:[Ud]],5,FALSE)*Tabla5[[#This Row],[Cantidad 28]],0)</f>
        <v>0</v>
      </c>
      <c r="CP6" s="1">
        <f>IFERROR(VLOOKUP(Tabla5[[#This Row],[Producto 29]],Tabla3[[Nombre]:[Ud]],5,FALSE)*Tabla5[[#This Row],[Cantidad 29]],0)</f>
        <v>0</v>
      </c>
      <c r="CS6" s="1">
        <f>IFERROR(VLOOKUP(Tabla5[[#This Row],[Producto 30]],Tabla3[[Nombre]:[Ud]],5,FALSE)*Tabla5[[#This Row],[Cantidad 30]],0)</f>
        <v>0</v>
      </c>
    </row>
    <row r="7" spans="1:97" x14ac:dyDescent="0.35">
      <c r="A7">
        <v>5</v>
      </c>
      <c r="D7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7" s="1">
        <f>Tabla5[[#This Row],[Minutos]]*Tabla13[[#Totals],[Precio Unitario]]</f>
        <v>0</v>
      </c>
      <c r="G7" s="1">
        <f>IFERROR(VLOOKUP(Tabla5[[#This Row],[Persona]],Tabla1[[Nombre]:[Ud]],7,FALSE) *Tabla5[[#This Row],[Minutos]],0)</f>
        <v>0</v>
      </c>
      <c r="J7" s="1">
        <f>IFERROR(VLOOKUP(Tabla5[[#This Row],[Producto 1]],Tabla3[[Nombre]:[Ud]],5,FALSE)*Tabla5[[#This Row],[Cantidad 1]],0)</f>
        <v>0</v>
      </c>
      <c r="M7" s="1">
        <f>IFERROR(VLOOKUP(Tabla5[[#This Row],[Producto 2]],Tabla3[[Nombre]:[Ud]],5,FALSE)*Tabla5[[#This Row],[Cantidad 2]],0)</f>
        <v>0</v>
      </c>
      <c r="P7" s="1">
        <f>IFERROR(VLOOKUP(Tabla5[[#This Row],[Producto 3]],Tabla3[[Nombre]:[Ud]],5,FALSE)*Tabla5[[#This Row],[Cantidad 3]],0)</f>
        <v>0</v>
      </c>
      <c r="S7" s="1">
        <f>IFERROR(VLOOKUP(Tabla5[[#This Row],[Producto 4]],Tabla3[[Nombre]:[Ud]],5,FALSE)*Tabla5[[#This Row],[Cantidad 4]],0)</f>
        <v>0</v>
      </c>
      <c r="V7" s="1">
        <f>IFERROR(VLOOKUP(Tabla5[[#This Row],[Producto 5]],Tabla3[[Nombre]:[Ud]],5,FALSE)*Tabla5[[#This Row],[Cantidad 5]],0)</f>
        <v>0</v>
      </c>
      <c r="Y7" s="1">
        <f>IFERROR(VLOOKUP(Tabla5[[#This Row],[Producto 6]],Tabla3[[Nombre]:[Ud]],5,FALSE)*Tabla5[[#This Row],[Cantidad 6]],0)</f>
        <v>0</v>
      </c>
      <c r="AB7" s="1">
        <f>IFERROR(VLOOKUP(Tabla5[[#This Row],[Producto 7]],Tabla3[[Nombre]:[Ud]],5,FALSE)*Tabla5[[#This Row],[Cantidad 7]],0)</f>
        <v>0</v>
      </c>
      <c r="AE7" s="1">
        <f>IFERROR(VLOOKUP(Tabla5[[#This Row],[Producto 8]],Tabla3[[Nombre]:[Ud]],5,FALSE)*Tabla5[[#This Row],[Cantidad 8]],0)</f>
        <v>0</v>
      </c>
      <c r="AH7" s="1">
        <f>IFERROR(VLOOKUP(Tabla5[[#This Row],[Producto 9]],Tabla3[[Nombre]:[Ud]],5,FALSE)*Tabla5[[#This Row],[Cantidad 9]],0)</f>
        <v>0</v>
      </c>
      <c r="AK7" s="1">
        <f>IFERROR(VLOOKUP(Tabla5[[#This Row],[Producto 10]],Tabla3[[Nombre]:[Ud]],5,FALSE)*Tabla5[[#This Row],[Cantidad 10]],0)</f>
        <v>0</v>
      </c>
      <c r="AN7" s="1">
        <f>IFERROR(VLOOKUP(Tabla5[[#This Row],[Producto 11]],Tabla3[[Nombre]:[Ud]],5,FALSE)*Tabla5[[#This Row],[Cantidad 11]],0)</f>
        <v>0</v>
      </c>
      <c r="AQ7" s="1">
        <f>IFERROR(VLOOKUP(Tabla5[[#This Row],[Producto 12]],Tabla3[[Nombre]:[Ud]],5,FALSE)*Tabla5[[#This Row],[Cantidad 12]],0)</f>
        <v>0</v>
      </c>
      <c r="AT7" s="1">
        <f>IFERROR(VLOOKUP(Tabla5[[#This Row],[Producto 13]],Tabla3[[Nombre]:[Ud]],5,FALSE)*Tabla5[[#This Row],[Cantidad 13]],0)</f>
        <v>0</v>
      </c>
      <c r="AW7" s="1">
        <f>IFERROR(VLOOKUP(Tabla5[[#This Row],[Producto 14]],Tabla3[[Nombre]:[Ud]],5,FALSE)*Tabla5[[#This Row],[Cantidad 14]],0)</f>
        <v>0</v>
      </c>
      <c r="AZ7" s="1">
        <f>IFERROR(VLOOKUP(Tabla5[[#This Row],[Producto 15]],Tabla3[[Nombre]:[Ud]],5,FALSE)*Tabla5[[#This Row],[Cantidad 15]],0)</f>
        <v>0</v>
      </c>
      <c r="BC7" s="1">
        <f>IFERROR(VLOOKUP(Tabla5[[#This Row],[Producto 16]],Tabla3[[Nombre]:[Ud]],5,FALSE)*Tabla5[[#This Row],[Cantidad 16]],0)</f>
        <v>0</v>
      </c>
      <c r="BF7" s="1">
        <f>IFERROR(VLOOKUP(Tabla5[[#This Row],[Producto 17]],Tabla3[[Nombre]:[Ud]],5,FALSE)*Tabla5[[#This Row],[Cantidad 17]],0)</f>
        <v>0</v>
      </c>
      <c r="BI7" s="1">
        <f>IFERROR(VLOOKUP(Tabla5[[#This Row],[Producto 18]],Tabla3[[Nombre]:[Ud]],5,FALSE)*Tabla5[[#This Row],[Cantidad 18]],0)</f>
        <v>0</v>
      </c>
      <c r="BL7" s="1">
        <f>IFERROR(VLOOKUP(Tabla5[[#This Row],[Producto 19]],Tabla3[[Nombre]:[Ud]],5,FALSE)*Tabla5[[#This Row],[Cantidad 19]],0)</f>
        <v>0</v>
      </c>
      <c r="BO7" s="1">
        <f>IFERROR(VLOOKUP(Tabla5[[#This Row],[Producto 20]],Tabla3[[Nombre]:[Ud]],5,FALSE)*Tabla5[[#This Row],[Cantidad 20]],0)</f>
        <v>0</v>
      </c>
      <c r="BR7" s="1">
        <f>IFERROR(VLOOKUP(Tabla5[[#This Row],[Producto 21]],Tabla3[[Nombre]:[Ud]],5,FALSE)*Tabla5[[#This Row],[Cantidad 21]],0)</f>
        <v>0</v>
      </c>
      <c r="BU7" s="1">
        <f>IFERROR(VLOOKUP(Tabla5[[#This Row],[Producto 22]],Tabla3[[Nombre]:[Ud]],5,FALSE)*Tabla5[[#This Row],[Cantidad 22]],0)</f>
        <v>0</v>
      </c>
      <c r="BX7" s="1">
        <f>IFERROR(VLOOKUP(Tabla5[[#This Row],[Producto 23]],Tabla3[[Nombre]:[Ud]],5,FALSE)*Tabla5[[#This Row],[Cantidad 23]],0)</f>
        <v>0</v>
      </c>
      <c r="CA7" s="1">
        <f>IFERROR(VLOOKUP(Tabla5[[#This Row],[Producto 24]],Tabla3[[Nombre]:[Ud]],5,FALSE)*Tabla5[[#This Row],[Cantidad 24]],0)</f>
        <v>0</v>
      </c>
      <c r="CD7" s="1">
        <f>IFERROR(VLOOKUP(Tabla5[[#This Row],[Producto 25]],Tabla3[[Nombre]:[Ud]],5,FALSE)*Tabla5[[#This Row],[Cantidad 25]],0)</f>
        <v>0</v>
      </c>
      <c r="CG7" s="1">
        <f>IFERROR(VLOOKUP(Tabla5[[#This Row],[Producto 26]],Tabla3[[Nombre]:[Ud]],5,FALSE)*Tabla5[[#This Row],[Cantidad 26]],0)</f>
        <v>0</v>
      </c>
      <c r="CJ7" s="1">
        <f>IFERROR(VLOOKUP(Tabla5[[#This Row],[Producto 27]],Tabla3[[Nombre]:[Ud]],5,FALSE)*Tabla5[[#This Row],[Cantidad 27]],0)</f>
        <v>0</v>
      </c>
      <c r="CM7" s="1">
        <f>IFERROR(VLOOKUP(Tabla5[[#This Row],[Producto 28]],Tabla3[[Nombre]:[Ud]],5,FALSE)*Tabla5[[#This Row],[Cantidad 28]],0)</f>
        <v>0</v>
      </c>
      <c r="CP7" s="1">
        <f>IFERROR(VLOOKUP(Tabla5[[#This Row],[Producto 29]],Tabla3[[Nombre]:[Ud]],5,FALSE)*Tabla5[[#This Row],[Cantidad 29]],0)</f>
        <v>0</v>
      </c>
      <c r="CS7" s="1">
        <f>IFERROR(VLOOKUP(Tabla5[[#This Row],[Producto 30]],Tabla3[[Nombre]:[Ud]],5,FALSE)*Tabla5[[#This Row],[Cantidad 30]],0)</f>
        <v>0</v>
      </c>
    </row>
    <row r="8" spans="1:97" x14ac:dyDescent="0.35">
      <c r="A8">
        <v>6</v>
      </c>
      <c r="D8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8" s="1">
        <f>Tabla5[[#This Row],[Minutos]]*Tabla13[[#Totals],[Precio Unitario]]</f>
        <v>0</v>
      </c>
      <c r="G8" s="1">
        <f>IFERROR(VLOOKUP(Tabla5[[#This Row],[Persona]],Tabla1[[Nombre]:[Ud]],7,FALSE) *Tabla5[[#This Row],[Minutos]],0)</f>
        <v>0</v>
      </c>
      <c r="J8" s="1">
        <f>IFERROR(VLOOKUP(Tabla5[[#This Row],[Producto 1]],Tabla3[[Nombre]:[Ud]],5,FALSE)*Tabla5[[#This Row],[Cantidad 1]],0)</f>
        <v>0</v>
      </c>
      <c r="M8" s="1">
        <f>IFERROR(VLOOKUP(Tabla5[[#This Row],[Producto 2]],Tabla3[[Nombre]:[Ud]],5,FALSE)*Tabla5[[#This Row],[Cantidad 2]],0)</f>
        <v>0</v>
      </c>
      <c r="P8" s="1">
        <f>IFERROR(VLOOKUP(Tabla5[[#This Row],[Producto 3]],Tabla3[[Nombre]:[Ud]],5,FALSE)*Tabla5[[#This Row],[Cantidad 3]],0)</f>
        <v>0</v>
      </c>
      <c r="S8" s="1">
        <f>IFERROR(VLOOKUP(Tabla5[[#This Row],[Producto 4]],Tabla3[[Nombre]:[Ud]],5,FALSE)*Tabla5[[#This Row],[Cantidad 4]],0)</f>
        <v>0</v>
      </c>
      <c r="V8" s="1">
        <f>IFERROR(VLOOKUP(Tabla5[[#This Row],[Producto 5]],Tabla3[[Nombre]:[Ud]],5,FALSE)*Tabla5[[#This Row],[Cantidad 5]],0)</f>
        <v>0</v>
      </c>
      <c r="Y8" s="1">
        <f>IFERROR(VLOOKUP(Tabla5[[#This Row],[Producto 6]],Tabla3[[Nombre]:[Ud]],5,FALSE)*Tabla5[[#This Row],[Cantidad 6]],0)</f>
        <v>0</v>
      </c>
      <c r="AB8" s="1">
        <f>IFERROR(VLOOKUP(Tabla5[[#This Row],[Producto 7]],Tabla3[[Nombre]:[Ud]],5,FALSE)*Tabla5[[#This Row],[Cantidad 7]],0)</f>
        <v>0</v>
      </c>
      <c r="AE8" s="1">
        <f>IFERROR(VLOOKUP(Tabla5[[#This Row],[Producto 8]],Tabla3[[Nombre]:[Ud]],5,FALSE)*Tabla5[[#This Row],[Cantidad 8]],0)</f>
        <v>0</v>
      </c>
      <c r="AH8" s="1">
        <f>IFERROR(VLOOKUP(Tabla5[[#This Row],[Producto 9]],Tabla3[[Nombre]:[Ud]],5,FALSE)*Tabla5[[#This Row],[Cantidad 9]],0)</f>
        <v>0</v>
      </c>
      <c r="AK8" s="1">
        <f>IFERROR(VLOOKUP(Tabla5[[#This Row],[Producto 10]],Tabla3[[Nombre]:[Ud]],5,FALSE)*Tabla5[[#This Row],[Cantidad 10]],0)</f>
        <v>0</v>
      </c>
      <c r="AN8" s="1">
        <f>IFERROR(VLOOKUP(Tabla5[[#This Row],[Producto 11]],Tabla3[[Nombre]:[Ud]],5,FALSE)*Tabla5[[#This Row],[Cantidad 11]],0)</f>
        <v>0</v>
      </c>
      <c r="AQ8" s="1">
        <f>IFERROR(VLOOKUP(Tabla5[[#This Row],[Producto 12]],Tabla3[[Nombre]:[Ud]],5,FALSE)*Tabla5[[#This Row],[Cantidad 12]],0)</f>
        <v>0</v>
      </c>
      <c r="AT8" s="1">
        <f>IFERROR(VLOOKUP(Tabla5[[#This Row],[Producto 13]],Tabla3[[Nombre]:[Ud]],5,FALSE)*Tabla5[[#This Row],[Cantidad 13]],0)</f>
        <v>0</v>
      </c>
      <c r="AW8" s="1">
        <f>IFERROR(VLOOKUP(Tabla5[[#This Row],[Producto 14]],Tabla3[[Nombre]:[Ud]],5,FALSE)*Tabla5[[#This Row],[Cantidad 14]],0)</f>
        <v>0</v>
      </c>
      <c r="AZ8" s="1">
        <f>IFERROR(VLOOKUP(Tabla5[[#This Row],[Producto 15]],Tabla3[[Nombre]:[Ud]],5,FALSE)*Tabla5[[#This Row],[Cantidad 15]],0)</f>
        <v>0</v>
      </c>
      <c r="BC8" s="1">
        <f>IFERROR(VLOOKUP(Tabla5[[#This Row],[Producto 16]],Tabla3[[Nombre]:[Ud]],5,FALSE)*Tabla5[[#This Row],[Cantidad 16]],0)</f>
        <v>0</v>
      </c>
      <c r="BF8" s="1">
        <f>IFERROR(VLOOKUP(Tabla5[[#This Row],[Producto 17]],Tabla3[[Nombre]:[Ud]],5,FALSE)*Tabla5[[#This Row],[Cantidad 17]],0)</f>
        <v>0</v>
      </c>
      <c r="BI8" s="1">
        <f>IFERROR(VLOOKUP(Tabla5[[#This Row],[Producto 18]],Tabla3[[Nombre]:[Ud]],5,FALSE)*Tabla5[[#This Row],[Cantidad 18]],0)</f>
        <v>0</v>
      </c>
      <c r="BL8" s="1">
        <f>IFERROR(VLOOKUP(Tabla5[[#This Row],[Producto 19]],Tabla3[[Nombre]:[Ud]],5,FALSE)*Tabla5[[#This Row],[Cantidad 19]],0)</f>
        <v>0</v>
      </c>
      <c r="BO8" s="1">
        <f>IFERROR(VLOOKUP(Tabla5[[#This Row],[Producto 20]],Tabla3[[Nombre]:[Ud]],5,FALSE)*Tabla5[[#This Row],[Cantidad 20]],0)</f>
        <v>0</v>
      </c>
      <c r="BR8" s="1">
        <f>IFERROR(VLOOKUP(Tabla5[[#This Row],[Producto 21]],Tabla3[[Nombre]:[Ud]],5,FALSE)*Tabla5[[#This Row],[Cantidad 21]],0)</f>
        <v>0</v>
      </c>
      <c r="BU8" s="1">
        <f>IFERROR(VLOOKUP(Tabla5[[#This Row],[Producto 22]],Tabla3[[Nombre]:[Ud]],5,FALSE)*Tabla5[[#This Row],[Cantidad 22]],0)</f>
        <v>0</v>
      </c>
      <c r="BX8" s="1">
        <f>IFERROR(VLOOKUP(Tabla5[[#This Row],[Producto 23]],Tabla3[[Nombre]:[Ud]],5,FALSE)*Tabla5[[#This Row],[Cantidad 23]],0)</f>
        <v>0</v>
      </c>
      <c r="CA8" s="1">
        <f>IFERROR(VLOOKUP(Tabla5[[#This Row],[Producto 24]],Tabla3[[Nombre]:[Ud]],5,FALSE)*Tabla5[[#This Row],[Cantidad 24]],0)</f>
        <v>0</v>
      </c>
      <c r="CD8" s="1">
        <f>IFERROR(VLOOKUP(Tabla5[[#This Row],[Producto 25]],Tabla3[[Nombre]:[Ud]],5,FALSE)*Tabla5[[#This Row],[Cantidad 25]],0)</f>
        <v>0</v>
      </c>
      <c r="CG8" s="1">
        <f>IFERROR(VLOOKUP(Tabla5[[#This Row],[Producto 26]],Tabla3[[Nombre]:[Ud]],5,FALSE)*Tabla5[[#This Row],[Cantidad 26]],0)</f>
        <v>0</v>
      </c>
      <c r="CJ8" s="1">
        <f>IFERROR(VLOOKUP(Tabla5[[#This Row],[Producto 27]],Tabla3[[Nombre]:[Ud]],5,FALSE)*Tabla5[[#This Row],[Cantidad 27]],0)</f>
        <v>0</v>
      </c>
      <c r="CM8" s="1">
        <f>IFERROR(VLOOKUP(Tabla5[[#This Row],[Producto 28]],Tabla3[[Nombre]:[Ud]],5,FALSE)*Tabla5[[#This Row],[Cantidad 28]],0)</f>
        <v>0</v>
      </c>
      <c r="CP8" s="1">
        <f>IFERROR(VLOOKUP(Tabla5[[#This Row],[Producto 29]],Tabla3[[Nombre]:[Ud]],5,FALSE)*Tabla5[[#This Row],[Cantidad 29]],0)</f>
        <v>0</v>
      </c>
      <c r="CS8" s="1">
        <f>IFERROR(VLOOKUP(Tabla5[[#This Row],[Producto 30]],Tabla3[[Nombre]:[Ud]],5,FALSE)*Tabla5[[#This Row],[Cantidad 30]],0)</f>
        <v>0</v>
      </c>
    </row>
    <row r="9" spans="1:97" x14ac:dyDescent="0.35">
      <c r="A9">
        <v>7</v>
      </c>
      <c r="D9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9" s="1">
        <f>Tabla5[[#This Row],[Minutos]]*Tabla13[[#Totals],[Precio Unitario]]</f>
        <v>0</v>
      </c>
      <c r="G9" s="1">
        <f>IFERROR(VLOOKUP(Tabla5[[#This Row],[Persona]],Tabla1[[Nombre]:[Ud]],7,FALSE) *Tabla5[[#This Row],[Minutos]],0)</f>
        <v>0</v>
      </c>
      <c r="J9" s="1">
        <f>IFERROR(VLOOKUP(Tabla5[[#This Row],[Producto 1]],Tabla3[[Nombre]:[Ud]],5,FALSE)*Tabla5[[#This Row],[Cantidad 1]],0)</f>
        <v>0</v>
      </c>
      <c r="M9" s="1">
        <f>IFERROR(VLOOKUP(Tabla5[[#This Row],[Producto 2]],Tabla3[[Nombre]:[Ud]],5,FALSE)*Tabla5[[#This Row],[Cantidad 2]],0)</f>
        <v>0</v>
      </c>
      <c r="P9" s="1">
        <f>IFERROR(VLOOKUP(Tabla5[[#This Row],[Producto 3]],Tabla3[[Nombre]:[Ud]],5,FALSE)*Tabla5[[#This Row],[Cantidad 3]],0)</f>
        <v>0</v>
      </c>
      <c r="S9" s="1">
        <f>IFERROR(VLOOKUP(Tabla5[[#This Row],[Producto 4]],Tabla3[[Nombre]:[Ud]],5,FALSE)*Tabla5[[#This Row],[Cantidad 4]],0)</f>
        <v>0</v>
      </c>
      <c r="V9" s="1">
        <f>IFERROR(VLOOKUP(Tabla5[[#This Row],[Producto 5]],Tabla3[[Nombre]:[Ud]],5,FALSE)*Tabla5[[#This Row],[Cantidad 5]],0)</f>
        <v>0</v>
      </c>
      <c r="Y9" s="1">
        <f>IFERROR(VLOOKUP(Tabla5[[#This Row],[Producto 6]],Tabla3[[Nombre]:[Ud]],5,FALSE)*Tabla5[[#This Row],[Cantidad 6]],0)</f>
        <v>0</v>
      </c>
      <c r="AB9" s="1">
        <f>IFERROR(VLOOKUP(Tabla5[[#This Row],[Producto 7]],Tabla3[[Nombre]:[Ud]],5,FALSE)*Tabla5[[#This Row],[Cantidad 7]],0)</f>
        <v>0</v>
      </c>
      <c r="AE9" s="1">
        <f>IFERROR(VLOOKUP(Tabla5[[#This Row],[Producto 8]],Tabla3[[Nombre]:[Ud]],5,FALSE)*Tabla5[[#This Row],[Cantidad 8]],0)</f>
        <v>0</v>
      </c>
      <c r="AH9" s="1">
        <f>IFERROR(VLOOKUP(Tabla5[[#This Row],[Producto 9]],Tabla3[[Nombre]:[Ud]],5,FALSE)*Tabla5[[#This Row],[Cantidad 9]],0)</f>
        <v>0</v>
      </c>
      <c r="AK9" s="1">
        <f>IFERROR(VLOOKUP(Tabla5[[#This Row],[Producto 10]],Tabla3[[Nombre]:[Ud]],5,FALSE)*Tabla5[[#This Row],[Cantidad 10]],0)</f>
        <v>0</v>
      </c>
      <c r="AN9" s="1">
        <f>IFERROR(VLOOKUP(Tabla5[[#This Row],[Producto 11]],Tabla3[[Nombre]:[Ud]],5,FALSE)*Tabla5[[#This Row],[Cantidad 11]],0)</f>
        <v>0</v>
      </c>
      <c r="AQ9" s="1">
        <f>IFERROR(VLOOKUP(Tabla5[[#This Row],[Producto 12]],Tabla3[[Nombre]:[Ud]],5,FALSE)*Tabla5[[#This Row],[Cantidad 12]],0)</f>
        <v>0</v>
      </c>
      <c r="AT9" s="1">
        <f>IFERROR(VLOOKUP(Tabla5[[#This Row],[Producto 13]],Tabla3[[Nombre]:[Ud]],5,FALSE)*Tabla5[[#This Row],[Cantidad 13]],0)</f>
        <v>0</v>
      </c>
      <c r="AW9" s="1">
        <f>IFERROR(VLOOKUP(Tabla5[[#This Row],[Producto 14]],Tabla3[[Nombre]:[Ud]],5,FALSE)*Tabla5[[#This Row],[Cantidad 14]],0)</f>
        <v>0</v>
      </c>
      <c r="AZ9" s="1">
        <f>IFERROR(VLOOKUP(Tabla5[[#This Row],[Producto 15]],Tabla3[[Nombre]:[Ud]],5,FALSE)*Tabla5[[#This Row],[Cantidad 15]],0)</f>
        <v>0</v>
      </c>
      <c r="BC9" s="1">
        <f>IFERROR(VLOOKUP(Tabla5[[#This Row],[Producto 16]],Tabla3[[Nombre]:[Ud]],5,FALSE)*Tabla5[[#This Row],[Cantidad 16]],0)</f>
        <v>0</v>
      </c>
      <c r="BF9" s="1">
        <f>IFERROR(VLOOKUP(Tabla5[[#This Row],[Producto 17]],Tabla3[[Nombre]:[Ud]],5,FALSE)*Tabla5[[#This Row],[Cantidad 17]],0)</f>
        <v>0</v>
      </c>
      <c r="BI9" s="1">
        <f>IFERROR(VLOOKUP(Tabla5[[#This Row],[Producto 18]],Tabla3[[Nombre]:[Ud]],5,FALSE)*Tabla5[[#This Row],[Cantidad 18]],0)</f>
        <v>0</v>
      </c>
      <c r="BL9" s="1">
        <f>IFERROR(VLOOKUP(Tabla5[[#This Row],[Producto 19]],Tabla3[[Nombre]:[Ud]],5,FALSE)*Tabla5[[#This Row],[Cantidad 19]],0)</f>
        <v>0</v>
      </c>
      <c r="BO9" s="1">
        <f>IFERROR(VLOOKUP(Tabla5[[#This Row],[Producto 20]],Tabla3[[Nombre]:[Ud]],5,FALSE)*Tabla5[[#This Row],[Cantidad 20]],0)</f>
        <v>0</v>
      </c>
      <c r="BR9" s="1">
        <f>IFERROR(VLOOKUP(Tabla5[[#This Row],[Producto 21]],Tabla3[[Nombre]:[Ud]],5,FALSE)*Tabla5[[#This Row],[Cantidad 21]],0)</f>
        <v>0</v>
      </c>
      <c r="BU9" s="1">
        <f>IFERROR(VLOOKUP(Tabla5[[#This Row],[Producto 22]],Tabla3[[Nombre]:[Ud]],5,FALSE)*Tabla5[[#This Row],[Cantidad 22]],0)</f>
        <v>0</v>
      </c>
      <c r="BX9" s="1">
        <f>IFERROR(VLOOKUP(Tabla5[[#This Row],[Producto 23]],Tabla3[[Nombre]:[Ud]],5,FALSE)*Tabla5[[#This Row],[Cantidad 23]],0)</f>
        <v>0</v>
      </c>
      <c r="CA9" s="1">
        <f>IFERROR(VLOOKUP(Tabla5[[#This Row],[Producto 24]],Tabla3[[Nombre]:[Ud]],5,FALSE)*Tabla5[[#This Row],[Cantidad 24]],0)</f>
        <v>0</v>
      </c>
      <c r="CD9" s="1">
        <f>IFERROR(VLOOKUP(Tabla5[[#This Row],[Producto 25]],Tabla3[[Nombre]:[Ud]],5,FALSE)*Tabla5[[#This Row],[Cantidad 25]],0)</f>
        <v>0</v>
      </c>
      <c r="CG9" s="1">
        <f>IFERROR(VLOOKUP(Tabla5[[#This Row],[Producto 26]],Tabla3[[Nombre]:[Ud]],5,FALSE)*Tabla5[[#This Row],[Cantidad 26]],0)</f>
        <v>0</v>
      </c>
      <c r="CJ9" s="1">
        <f>IFERROR(VLOOKUP(Tabla5[[#This Row],[Producto 27]],Tabla3[[Nombre]:[Ud]],5,FALSE)*Tabla5[[#This Row],[Cantidad 27]],0)</f>
        <v>0</v>
      </c>
      <c r="CM9" s="1">
        <f>IFERROR(VLOOKUP(Tabla5[[#This Row],[Producto 28]],Tabla3[[Nombre]:[Ud]],5,FALSE)*Tabla5[[#This Row],[Cantidad 28]],0)</f>
        <v>0</v>
      </c>
      <c r="CP9" s="1">
        <f>IFERROR(VLOOKUP(Tabla5[[#This Row],[Producto 29]],Tabla3[[Nombre]:[Ud]],5,FALSE)*Tabla5[[#This Row],[Cantidad 29]],0)</f>
        <v>0</v>
      </c>
      <c r="CS9" s="1">
        <f>IFERROR(VLOOKUP(Tabla5[[#This Row],[Producto 30]],Tabla3[[Nombre]:[Ud]],5,FALSE)*Tabla5[[#This Row],[Cantidad 30]],0)</f>
        <v>0</v>
      </c>
    </row>
    <row r="10" spans="1:97" x14ac:dyDescent="0.35">
      <c r="A10">
        <v>8</v>
      </c>
      <c r="D10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10" s="1">
        <f>Tabla5[[#This Row],[Minutos]]*Tabla13[[#Totals],[Precio Unitario]]</f>
        <v>0</v>
      </c>
      <c r="G10" s="1">
        <f>IFERROR(VLOOKUP(Tabla5[[#This Row],[Persona]],Tabla1[[Nombre]:[Ud]],7,FALSE) *Tabla5[[#This Row],[Minutos]],0)</f>
        <v>0</v>
      </c>
      <c r="J10" s="1">
        <f>IFERROR(VLOOKUP(Tabla5[[#This Row],[Producto 1]],Tabla3[[Nombre]:[Ud]],5,FALSE)*Tabla5[[#This Row],[Cantidad 1]],0)</f>
        <v>0</v>
      </c>
      <c r="M10" s="1">
        <f>IFERROR(VLOOKUP(Tabla5[[#This Row],[Producto 2]],Tabla3[[Nombre]:[Ud]],5,FALSE)*Tabla5[[#This Row],[Cantidad 2]],0)</f>
        <v>0</v>
      </c>
      <c r="P10" s="1">
        <f>IFERROR(VLOOKUP(Tabla5[[#This Row],[Producto 3]],Tabla3[[Nombre]:[Ud]],5,FALSE)*Tabla5[[#This Row],[Cantidad 3]],0)</f>
        <v>0</v>
      </c>
      <c r="S10" s="1">
        <f>IFERROR(VLOOKUP(Tabla5[[#This Row],[Producto 4]],Tabla3[[Nombre]:[Ud]],5,FALSE)*Tabla5[[#This Row],[Cantidad 4]],0)</f>
        <v>0</v>
      </c>
      <c r="V10" s="1">
        <f>IFERROR(VLOOKUP(Tabla5[[#This Row],[Producto 5]],Tabla3[[Nombre]:[Ud]],5,FALSE)*Tabla5[[#This Row],[Cantidad 5]],0)</f>
        <v>0</v>
      </c>
      <c r="Y10" s="1">
        <f>IFERROR(VLOOKUP(Tabla5[[#This Row],[Producto 6]],Tabla3[[Nombre]:[Ud]],5,FALSE)*Tabla5[[#This Row],[Cantidad 6]],0)</f>
        <v>0</v>
      </c>
      <c r="AB10" s="1">
        <f>IFERROR(VLOOKUP(Tabla5[[#This Row],[Producto 7]],Tabla3[[Nombre]:[Ud]],5,FALSE)*Tabla5[[#This Row],[Cantidad 7]],0)</f>
        <v>0</v>
      </c>
      <c r="AE10" s="1">
        <f>IFERROR(VLOOKUP(Tabla5[[#This Row],[Producto 8]],Tabla3[[Nombre]:[Ud]],5,FALSE)*Tabla5[[#This Row],[Cantidad 8]],0)</f>
        <v>0</v>
      </c>
      <c r="AH10" s="1">
        <f>IFERROR(VLOOKUP(Tabla5[[#This Row],[Producto 9]],Tabla3[[Nombre]:[Ud]],5,FALSE)*Tabla5[[#This Row],[Cantidad 9]],0)</f>
        <v>0</v>
      </c>
      <c r="AK10" s="1">
        <f>IFERROR(VLOOKUP(Tabla5[[#This Row],[Producto 10]],Tabla3[[Nombre]:[Ud]],5,FALSE)*Tabla5[[#This Row],[Cantidad 10]],0)</f>
        <v>0</v>
      </c>
      <c r="AN10" s="1">
        <f>IFERROR(VLOOKUP(Tabla5[[#This Row],[Producto 11]],Tabla3[[Nombre]:[Ud]],5,FALSE)*Tabla5[[#This Row],[Cantidad 11]],0)</f>
        <v>0</v>
      </c>
      <c r="AQ10" s="1">
        <f>IFERROR(VLOOKUP(Tabla5[[#This Row],[Producto 12]],Tabla3[[Nombre]:[Ud]],5,FALSE)*Tabla5[[#This Row],[Cantidad 12]],0)</f>
        <v>0</v>
      </c>
      <c r="AT10" s="1">
        <f>IFERROR(VLOOKUP(Tabla5[[#This Row],[Producto 13]],Tabla3[[Nombre]:[Ud]],5,FALSE)*Tabla5[[#This Row],[Cantidad 13]],0)</f>
        <v>0</v>
      </c>
      <c r="AW10" s="1">
        <f>IFERROR(VLOOKUP(Tabla5[[#This Row],[Producto 14]],Tabla3[[Nombre]:[Ud]],5,FALSE)*Tabla5[[#This Row],[Cantidad 14]],0)</f>
        <v>0</v>
      </c>
      <c r="AZ10" s="1">
        <f>IFERROR(VLOOKUP(Tabla5[[#This Row],[Producto 15]],Tabla3[[Nombre]:[Ud]],5,FALSE)*Tabla5[[#This Row],[Cantidad 15]],0)</f>
        <v>0</v>
      </c>
      <c r="BC10" s="1">
        <f>IFERROR(VLOOKUP(Tabla5[[#This Row],[Producto 16]],Tabla3[[Nombre]:[Ud]],5,FALSE)*Tabla5[[#This Row],[Cantidad 16]],0)</f>
        <v>0</v>
      </c>
      <c r="BF10" s="1">
        <f>IFERROR(VLOOKUP(Tabla5[[#This Row],[Producto 17]],Tabla3[[Nombre]:[Ud]],5,FALSE)*Tabla5[[#This Row],[Cantidad 17]],0)</f>
        <v>0</v>
      </c>
      <c r="BI10" s="1">
        <f>IFERROR(VLOOKUP(Tabla5[[#This Row],[Producto 18]],Tabla3[[Nombre]:[Ud]],5,FALSE)*Tabla5[[#This Row],[Cantidad 18]],0)</f>
        <v>0</v>
      </c>
      <c r="BL10" s="1">
        <f>IFERROR(VLOOKUP(Tabla5[[#This Row],[Producto 19]],Tabla3[[Nombre]:[Ud]],5,FALSE)*Tabla5[[#This Row],[Cantidad 19]],0)</f>
        <v>0</v>
      </c>
      <c r="BO10" s="1">
        <f>IFERROR(VLOOKUP(Tabla5[[#This Row],[Producto 20]],Tabla3[[Nombre]:[Ud]],5,FALSE)*Tabla5[[#This Row],[Cantidad 20]],0)</f>
        <v>0</v>
      </c>
      <c r="BR10" s="1">
        <f>IFERROR(VLOOKUP(Tabla5[[#This Row],[Producto 21]],Tabla3[[Nombre]:[Ud]],5,FALSE)*Tabla5[[#This Row],[Cantidad 21]],0)</f>
        <v>0</v>
      </c>
      <c r="BU10" s="1">
        <f>IFERROR(VLOOKUP(Tabla5[[#This Row],[Producto 22]],Tabla3[[Nombre]:[Ud]],5,FALSE)*Tabla5[[#This Row],[Cantidad 22]],0)</f>
        <v>0</v>
      </c>
      <c r="BX10" s="1">
        <f>IFERROR(VLOOKUP(Tabla5[[#This Row],[Producto 23]],Tabla3[[Nombre]:[Ud]],5,FALSE)*Tabla5[[#This Row],[Cantidad 23]],0)</f>
        <v>0</v>
      </c>
      <c r="CA10" s="1">
        <f>IFERROR(VLOOKUP(Tabla5[[#This Row],[Producto 24]],Tabla3[[Nombre]:[Ud]],5,FALSE)*Tabla5[[#This Row],[Cantidad 24]],0)</f>
        <v>0</v>
      </c>
      <c r="CD10" s="1">
        <f>IFERROR(VLOOKUP(Tabla5[[#This Row],[Producto 25]],Tabla3[[Nombre]:[Ud]],5,FALSE)*Tabla5[[#This Row],[Cantidad 25]],0)</f>
        <v>0</v>
      </c>
      <c r="CG10" s="1">
        <f>IFERROR(VLOOKUP(Tabla5[[#This Row],[Producto 26]],Tabla3[[Nombre]:[Ud]],5,FALSE)*Tabla5[[#This Row],[Cantidad 26]],0)</f>
        <v>0</v>
      </c>
      <c r="CJ10" s="1">
        <f>IFERROR(VLOOKUP(Tabla5[[#This Row],[Producto 27]],Tabla3[[Nombre]:[Ud]],5,FALSE)*Tabla5[[#This Row],[Cantidad 27]],0)</f>
        <v>0</v>
      </c>
      <c r="CM10" s="1">
        <f>IFERROR(VLOOKUP(Tabla5[[#This Row],[Producto 28]],Tabla3[[Nombre]:[Ud]],5,FALSE)*Tabla5[[#This Row],[Cantidad 28]],0)</f>
        <v>0</v>
      </c>
      <c r="CP10" s="1">
        <f>IFERROR(VLOOKUP(Tabla5[[#This Row],[Producto 29]],Tabla3[[Nombre]:[Ud]],5,FALSE)*Tabla5[[#This Row],[Cantidad 29]],0)</f>
        <v>0</v>
      </c>
      <c r="CS10" s="1">
        <f>IFERROR(VLOOKUP(Tabla5[[#This Row],[Producto 30]],Tabla3[[Nombre]:[Ud]],5,FALSE)*Tabla5[[#This Row],[Cantidad 30]],0)</f>
        <v>0</v>
      </c>
    </row>
    <row r="11" spans="1:97" x14ac:dyDescent="0.35">
      <c r="A11">
        <v>9</v>
      </c>
      <c r="D11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11" s="1">
        <f>Tabla5[[#This Row],[Minutos]]*Tabla13[[#Totals],[Precio Unitario]]</f>
        <v>0</v>
      </c>
      <c r="G11" s="1">
        <f>IFERROR(VLOOKUP(Tabla5[[#This Row],[Persona]],Tabla1[[Nombre]:[Ud]],7,FALSE) *Tabla5[[#This Row],[Minutos]],0)</f>
        <v>0</v>
      </c>
      <c r="J11" s="1">
        <f>IFERROR(VLOOKUP(Tabla5[[#This Row],[Producto 1]],Tabla3[[Nombre]:[Ud]],5,FALSE)*Tabla5[[#This Row],[Cantidad 1]],0)</f>
        <v>0</v>
      </c>
      <c r="M11" s="1">
        <f>IFERROR(VLOOKUP(Tabla5[[#This Row],[Producto 2]],Tabla3[[Nombre]:[Ud]],5,FALSE)*Tabla5[[#This Row],[Cantidad 2]],0)</f>
        <v>0</v>
      </c>
      <c r="P11" s="1">
        <f>IFERROR(VLOOKUP(Tabla5[[#This Row],[Producto 3]],Tabla3[[Nombre]:[Ud]],5,FALSE)*Tabla5[[#This Row],[Cantidad 3]],0)</f>
        <v>0</v>
      </c>
      <c r="S11" s="1">
        <f>IFERROR(VLOOKUP(Tabla5[[#This Row],[Producto 4]],Tabla3[[Nombre]:[Ud]],5,FALSE)*Tabla5[[#This Row],[Cantidad 4]],0)</f>
        <v>0</v>
      </c>
      <c r="V11" s="1">
        <f>IFERROR(VLOOKUP(Tabla5[[#This Row],[Producto 5]],Tabla3[[Nombre]:[Ud]],5,FALSE)*Tabla5[[#This Row],[Cantidad 5]],0)</f>
        <v>0</v>
      </c>
      <c r="Y11" s="1">
        <f>IFERROR(VLOOKUP(Tabla5[[#This Row],[Producto 6]],Tabla3[[Nombre]:[Ud]],5,FALSE)*Tabla5[[#This Row],[Cantidad 6]],0)</f>
        <v>0</v>
      </c>
      <c r="AB11" s="1">
        <f>IFERROR(VLOOKUP(Tabla5[[#This Row],[Producto 7]],Tabla3[[Nombre]:[Ud]],5,FALSE)*Tabla5[[#This Row],[Cantidad 7]],0)</f>
        <v>0</v>
      </c>
      <c r="AE11" s="1">
        <f>IFERROR(VLOOKUP(Tabla5[[#This Row],[Producto 8]],Tabla3[[Nombre]:[Ud]],5,FALSE)*Tabla5[[#This Row],[Cantidad 8]],0)</f>
        <v>0</v>
      </c>
      <c r="AH11" s="1">
        <f>IFERROR(VLOOKUP(Tabla5[[#This Row],[Producto 9]],Tabla3[[Nombre]:[Ud]],5,FALSE)*Tabla5[[#This Row],[Cantidad 9]],0)</f>
        <v>0</v>
      </c>
      <c r="AK11" s="1">
        <f>IFERROR(VLOOKUP(Tabla5[[#This Row],[Producto 10]],Tabla3[[Nombre]:[Ud]],5,FALSE)*Tabla5[[#This Row],[Cantidad 10]],0)</f>
        <v>0</v>
      </c>
      <c r="AN11" s="1">
        <f>IFERROR(VLOOKUP(Tabla5[[#This Row],[Producto 11]],Tabla3[[Nombre]:[Ud]],5,FALSE)*Tabla5[[#This Row],[Cantidad 11]],0)</f>
        <v>0</v>
      </c>
      <c r="AQ11" s="1">
        <f>IFERROR(VLOOKUP(Tabla5[[#This Row],[Producto 12]],Tabla3[[Nombre]:[Ud]],5,FALSE)*Tabla5[[#This Row],[Cantidad 12]],0)</f>
        <v>0</v>
      </c>
      <c r="AT11" s="1">
        <f>IFERROR(VLOOKUP(Tabla5[[#This Row],[Producto 13]],Tabla3[[Nombre]:[Ud]],5,FALSE)*Tabla5[[#This Row],[Cantidad 13]],0)</f>
        <v>0</v>
      </c>
      <c r="AW11" s="1">
        <f>IFERROR(VLOOKUP(Tabla5[[#This Row],[Producto 14]],Tabla3[[Nombre]:[Ud]],5,FALSE)*Tabla5[[#This Row],[Cantidad 14]],0)</f>
        <v>0</v>
      </c>
      <c r="AZ11" s="1">
        <f>IFERROR(VLOOKUP(Tabla5[[#This Row],[Producto 15]],Tabla3[[Nombre]:[Ud]],5,FALSE)*Tabla5[[#This Row],[Cantidad 15]],0)</f>
        <v>0</v>
      </c>
      <c r="BC11" s="1">
        <f>IFERROR(VLOOKUP(Tabla5[[#This Row],[Producto 16]],Tabla3[[Nombre]:[Ud]],5,FALSE)*Tabla5[[#This Row],[Cantidad 16]],0)</f>
        <v>0</v>
      </c>
      <c r="BF11" s="1">
        <f>IFERROR(VLOOKUP(Tabla5[[#This Row],[Producto 17]],Tabla3[[Nombre]:[Ud]],5,FALSE)*Tabla5[[#This Row],[Cantidad 17]],0)</f>
        <v>0</v>
      </c>
      <c r="BI11" s="1">
        <f>IFERROR(VLOOKUP(Tabla5[[#This Row],[Producto 18]],Tabla3[[Nombre]:[Ud]],5,FALSE)*Tabla5[[#This Row],[Cantidad 18]],0)</f>
        <v>0</v>
      </c>
      <c r="BL11" s="1">
        <f>IFERROR(VLOOKUP(Tabla5[[#This Row],[Producto 19]],Tabla3[[Nombre]:[Ud]],5,FALSE)*Tabla5[[#This Row],[Cantidad 19]],0)</f>
        <v>0</v>
      </c>
      <c r="BO11" s="1">
        <f>IFERROR(VLOOKUP(Tabla5[[#This Row],[Producto 20]],Tabla3[[Nombre]:[Ud]],5,FALSE)*Tabla5[[#This Row],[Cantidad 20]],0)</f>
        <v>0</v>
      </c>
      <c r="BR11" s="1">
        <f>IFERROR(VLOOKUP(Tabla5[[#This Row],[Producto 21]],Tabla3[[Nombre]:[Ud]],5,FALSE)*Tabla5[[#This Row],[Cantidad 21]],0)</f>
        <v>0</v>
      </c>
      <c r="BU11" s="1">
        <f>IFERROR(VLOOKUP(Tabla5[[#This Row],[Producto 22]],Tabla3[[Nombre]:[Ud]],5,FALSE)*Tabla5[[#This Row],[Cantidad 22]],0)</f>
        <v>0</v>
      </c>
      <c r="BX11" s="1">
        <f>IFERROR(VLOOKUP(Tabla5[[#This Row],[Producto 23]],Tabla3[[Nombre]:[Ud]],5,FALSE)*Tabla5[[#This Row],[Cantidad 23]],0)</f>
        <v>0</v>
      </c>
      <c r="CA11" s="1">
        <f>IFERROR(VLOOKUP(Tabla5[[#This Row],[Producto 24]],Tabla3[[Nombre]:[Ud]],5,FALSE)*Tabla5[[#This Row],[Cantidad 24]],0)</f>
        <v>0</v>
      </c>
      <c r="CD11" s="1">
        <f>IFERROR(VLOOKUP(Tabla5[[#This Row],[Producto 25]],Tabla3[[Nombre]:[Ud]],5,FALSE)*Tabla5[[#This Row],[Cantidad 25]],0)</f>
        <v>0</v>
      </c>
      <c r="CG11" s="1">
        <f>IFERROR(VLOOKUP(Tabla5[[#This Row],[Producto 26]],Tabla3[[Nombre]:[Ud]],5,FALSE)*Tabla5[[#This Row],[Cantidad 26]],0)</f>
        <v>0</v>
      </c>
      <c r="CJ11" s="1">
        <f>IFERROR(VLOOKUP(Tabla5[[#This Row],[Producto 27]],Tabla3[[Nombre]:[Ud]],5,FALSE)*Tabla5[[#This Row],[Cantidad 27]],0)</f>
        <v>0</v>
      </c>
      <c r="CM11" s="1">
        <f>IFERROR(VLOOKUP(Tabla5[[#This Row],[Producto 28]],Tabla3[[Nombre]:[Ud]],5,FALSE)*Tabla5[[#This Row],[Cantidad 28]],0)</f>
        <v>0</v>
      </c>
      <c r="CP11" s="1">
        <f>IFERROR(VLOOKUP(Tabla5[[#This Row],[Producto 29]],Tabla3[[Nombre]:[Ud]],5,FALSE)*Tabla5[[#This Row],[Cantidad 29]],0)</f>
        <v>0</v>
      </c>
      <c r="CS11" s="1">
        <f>IFERROR(VLOOKUP(Tabla5[[#This Row],[Producto 30]],Tabla3[[Nombre]:[Ud]],5,FALSE)*Tabla5[[#This Row],[Cantidad 30]],0)</f>
        <v>0</v>
      </c>
    </row>
    <row r="12" spans="1:97" x14ac:dyDescent="0.35">
      <c r="A12">
        <v>10</v>
      </c>
      <c r="D12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12" s="1">
        <f>Tabla5[[#This Row],[Minutos]]*Tabla13[[#Totals],[Precio Unitario]]</f>
        <v>0</v>
      </c>
      <c r="G12" s="1">
        <f>IFERROR(VLOOKUP(Tabla5[[#This Row],[Persona]],Tabla1[[Nombre]:[Ud]],7,FALSE) *Tabla5[[#This Row],[Minutos]],0)</f>
        <v>0</v>
      </c>
      <c r="J12" s="1">
        <f>IFERROR(VLOOKUP(Tabla5[[#This Row],[Producto 1]],Tabla3[[Nombre]:[Ud]],5,FALSE)*Tabla5[[#This Row],[Cantidad 1]],0)</f>
        <v>0</v>
      </c>
      <c r="M12" s="1">
        <f>IFERROR(VLOOKUP(Tabla5[[#This Row],[Producto 2]],Tabla3[[Nombre]:[Ud]],5,FALSE)*Tabla5[[#This Row],[Cantidad 2]],0)</f>
        <v>0</v>
      </c>
      <c r="P12" s="1">
        <f>IFERROR(VLOOKUP(Tabla5[[#This Row],[Producto 3]],Tabla3[[Nombre]:[Ud]],5,FALSE)*Tabla5[[#This Row],[Cantidad 3]],0)</f>
        <v>0</v>
      </c>
      <c r="S12" s="1">
        <f>IFERROR(VLOOKUP(Tabla5[[#This Row],[Producto 4]],Tabla3[[Nombre]:[Ud]],5,FALSE)*Tabla5[[#This Row],[Cantidad 4]],0)</f>
        <v>0</v>
      </c>
      <c r="V12" s="1">
        <f>IFERROR(VLOOKUP(Tabla5[[#This Row],[Producto 5]],Tabla3[[Nombre]:[Ud]],5,FALSE)*Tabla5[[#This Row],[Cantidad 5]],0)</f>
        <v>0</v>
      </c>
      <c r="Y12" s="1">
        <f>IFERROR(VLOOKUP(Tabla5[[#This Row],[Producto 6]],Tabla3[[Nombre]:[Ud]],5,FALSE)*Tabla5[[#This Row],[Cantidad 6]],0)</f>
        <v>0</v>
      </c>
      <c r="AB12" s="1">
        <f>IFERROR(VLOOKUP(Tabla5[[#This Row],[Producto 7]],Tabla3[[Nombre]:[Ud]],5,FALSE)*Tabla5[[#This Row],[Cantidad 7]],0)</f>
        <v>0</v>
      </c>
      <c r="AE12" s="1">
        <f>IFERROR(VLOOKUP(Tabla5[[#This Row],[Producto 8]],Tabla3[[Nombre]:[Ud]],5,FALSE)*Tabla5[[#This Row],[Cantidad 8]],0)</f>
        <v>0</v>
      </c>
      <c r="AH12" s="1">
        <f>IFERROR(VLOOKUP(Tabla5[[#This Row],[Producto 9]],Tabla3[[Nombre]:[Ud]],5,FALSE)*Tabla5[[#This Row],[Cantidad 9]],0)</f>
        <v>0</v>
      </c>
      <c r="AK12" s="1">
        <f>IFERROR(VLOOKUP(Tabla5[[#This Row],[Producto 10]],Tabla3[[Nombre]:[Ud]],5,FALSE)*Tabla5[[#This Row],[Cantidad 10]],0)</f>
        <v>0</v>
      </c>
      <c r="AN12" s="1">
        <f>IFERROR(VLOOKUP(Tabla5[[#This Row],[Producto 11]],Tabla3[[Nombre]:[Ud]],5,FALSE)*Tabla5[[#This Row],[Cantidad 11]],0)</f>
        <v>0</v>
      </c>
      <c r="AQ12" s="1">
        <f>IFERROR(VLOOKUP(Tabla5[[#This Row],[Producto 12]],Tabla3[[Nombre]:[Ud]],5,FALSE)*Tabla5[[#This Row],[Cantidad 12]],0)</f>
        <v>0</v>
      </c>
      <c r="AT12" s="1">
        <f>IFERROR(VLOOKUP(Tabla5[[#This Row],[Producto 13]],Tabla3[[Nombre]:[Ud]],5,FALSE)*Tabla5[[#This Row],[Cantidad 13]],0)</f>
        <v>0</v>
      </c>
      <c r="AW12" s="1">
        <f>IFERROR(VLOOKUP(Tabla5[[#This Row],[Producto 14]],Tabla3[[Nombre]:[Ud]],5,FALSE)*Tabla5[[#This Row],[Cantidad 14]],0)</f>
        <v>0</v>
      </c>
      <c r="AZ12" s="1">
        <f>IFERROR(VLOOKUP(Tabla5[[#This Row],[Producto 15]],Tabla3[[Nombre]:[Ud]],5,FALSE)*Tabla5[[#This Row],[Cantidad 15]],0)</f>
        <v>0</v>
      </c>
      <c r="BC12" s="1">
        <f>IFERROR(VLOOKUP(Tabla5[[#This Row],[Producto 16]],Tabla3[[Nombre]:[Ud]],5,FALSE)*Tabla5[[#This Row],[Cantidad 16]],0)</f>
        <v>0</v>
      </c>
      <c r="BF12" s="1">
        <f>IFERROR(VLOOKUP(Tabla5[[#This Row],[Producto 17]],Tabla3[[Nombre]:[Ud]],5,FALSE)*Tabla5[[#This Row],[Cantidad 17]],0)</f>
        <v>0</v>
      </c>
      <c r="BI12" s="1">
        <f>IFERROR(VLOOKUP(Tabla5[[#This Row],[Producto 18]],Tabla3[[Nombre]:[Ud]],5,FALSE)*Tabla5[[#This Row],[Cantidad 18]],0)</f>
        <v>0</v>
      </c>
      <c r="BL12" s="1">
        <f>IFERROR(VLOOKUP(Tabla5[[#This Row],[Producto 19]],Tabla3[[Nombre]:[Ud]],5,FALSE)*Tabla5[[#This Row],[Cantidad 19]],0)</f>
        <v>0</v>
      </c>
      <c r="BO12" s="1">
        <f>IFERROR(VLOOKUP(Tabla5[[#This Row],[Producto 20]],Tabla3[[Nombre]:[Ud]],5,FALSE)*Tabla5[[#This Row],[Cantidad 20]],0)</f>
        <v>0</v>
      </c>
      <c r="BR12" s="1">
        <f>IFERROR(VLOOKUP(Tabla5[[#This Row],[Producto 21]],Tabla3[[Nombre]:[Ud]],5,FALSE)*Tabla5[[#This Row],[Cantidad 21]],0)</f>
        <v>0</v>
      </c>
      <c r="BU12" s="1">
        <f>IFERROR(VLOOKUP(Tabla5[[#This Row],[Producto 22]],Tabla3[[Nombre]:[Ud]],5,FALSE)*Tabla5[[#This Row],[Cantidad 22]],0)</f>
        <v>0</v>
      </c>
      <c r="BX12" s="1">
        <f>IFERROR(VLOOKUP(Tabla5[[#This Row],[Producto 23]],Tabla3[[Nombre]:[Ud]],5,FALSE)*Tabla5[[#This Row],[Cantidad 23]],0)</f>
        <v>0</v>
      </c>
      <c r="CA12" s="1">
        <f>IFERROR(VLOOKUP(Tabla5[[#This Row],[Producto 24]],Tabla3[[Nombre]:[Ud]],5,FALSE)*Tabla5[[#This Row],[Cantidad 24]],0)</f>
        <v>0</v>
      </c>
      <c r="CD12" s="1">
        <f>IFERROR(VLOOKUP(Tabla5[[#This Row],[Producto 25]],Tabla3[[Nombre]:[Ud]],5,FALSE)*Tabla5[[#This Row],[Cantidad 25]],0)</f>
        <v>0</v>
      </c>
      <c r="CG12" s="1">
        <f>IFERROR(VLOOKUP(Tabla5[[#This Row],[Producto 26]],Tabla3[[Nombre]:[Ud]],5,FALSE)*Tabla5[[#This Row],[Cantidad 26]],0)</f>
        <v>0</v>
      </c>
      <c r="CJ12" s="1">
        <f>IFERROR(VLOOKUP(Tabla5[[#This Row],[Producto 27]],Tabla3[[Nombre]:[Ud]],5,FALSE)*Tabla5[[#This Row],[Cantidad 27]],0)</f>
        <v>0</v>
      </c>
      <c r="CM12" s="1">
        <f>IFERROR(VLOOKUP(Tabla5[[#This Row],[Producto 28]],Tabla3[[Nombre]:[Ud]],5,FALSE)*Tabla5[[#This Row],[Cantidad 28]],0)</f>
        <v>0</v>
      </c>
      <c r="CP12" s="1">
        <f>IFERROR(VLOOKUP(Tabla5[[#This Row],[Producto 29]],Tabla3[[Nombre]:[Ud]],5,FALSE)*Tabla5[[#This Row],[Cantidad 29]],0)</f>
        <v>0</v>
      </c>
      <c r="CS12" s="1">
        <f>IFERROR(VLOOKUP(Tabla5[[#This Row],[Producto 30]],Tabla3[[Nombre]:[Ud]],5,FALSE)*Tabla5[[#This Row],[Cantidad 30]],0)</f>
        <v>0</v>
      </c>
    </row>
    <row r="13" spans="1:97" x14ac:dyDescent="0.35">
      <c r="A13">
        <v>11</v>
      </c>
      <c r="D13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13" s="1">
        <f>Tabla5[[#This Row],[Minutos]]*Tabla13[[#Totals],[Precio Unitario]]</f>
        <v>0</v>
      </c>
      <c r="G13" s="1">
        <f>IFERROR(VLOOKUP(Tabla5[[#This Row],[Persona]],Tabla1[[Nombre]:[Ud]],7,FALSE) *Tabla5[[#This Row],[Minutos]],0)</f>
        <v>0</v>
      </c>
      <c r="J13" s="1">
        <f>IFERROR(VLOOKUP(Tabla5[[#This Row],[Producto 1]],Tabla3[[Nombre]:[Ud]],5,FALSE)*Tabla5[[#This Row],[Cantidad 1]],0)</f>
        <v>0</v>
      </c>
      <c r="M13" s="1">
        <f>IFERROR(VLOOKUP(Tabla5[[#This Row],[Producto 2]],Tabla3[[Nombre]:[Ud]],5,FALSE)*Tabla5[[#This Row],[Cantidad 2]],0)</f>
        <v>0</v>
      </c>
      <c r="P13" s="1">
        <f>IFERROR(VLOOKUP(Tabla5[[#This Row],[Producto 3]],Tabla3[[Nombre]:[Ud]],5,FALSE)*Tabla5[[#This Row],[Cantidad 3]],0)</f>
        <v>0</v>
      </c>
      <c r="S13" s="1">
        <f>IFERROR(VLOOKUP(Tabla5[[#This Row],[Producto 4]],Tabla3[[Nombre]:[Ud]],5,FALSE)*Tabla5[[#This Row],[Cantidad 4]],0)</f>
        <v>0</v>
      </c>
      <c r="V13" s="1">
        <f>IFERROR(VLOOKUP(Tabla5[[#This Row],[Producto 5]],Tabla3[[Nombre]:[Ud]],5,FALSE)*Tabla5[[#This Row],[Cantidad 5]],0)</f>
        <v>0</v>
      </c>
      <c r="Y13" s="1">
        <f>IFERROR(VLOOKUP(Tabla5[[#This Row],[Producto 6]],Tabla3[[Nombre]:[Ud]],5,FALSE)*Tabla5[[#This Row],[Cantidad 6]],0)</f>
        <v>0</v>
      </c>
      <c r="AB13" s="1">
        <f>IFERROR(VLOOKUP(Tabla5[[#This Row],[Producto 7]],Tabla3[[Nombre]:[Ud]],5,FALSE)*Tabla5[[#This Row],[Cantidad 7]],0)</f>
        <v>0</v>
      </c>
      <c r="AE13" s="1">
        <f>IFERROR(VLOOKUP(Tabla5[[#This Row],[Producto 8]],Tabla3[[Nombre]:[Ud]],5,FALSE)*Tabla5[[#This Row],[Cantidad 8]],0)</f>
        <v>0</v>
      </c>
      <c r="AH13" s="1">
        <f>IFERROR(VLOOKUP(Tabla5[[#This Row],[Producto 9]],Tabla3[[Nombre]:[Ud]],5,FALSE)*Tabla5[[#This Row],[Cantidad 9]],0)</f>
        <v>0</v>
      </c>
      <c r="AK13" s="1">
        <f>IFERROR(VLOOKUP(Tabla5[[#This Row],[Producto 10]],Tabla3[[Nombre]:[Ud]],5,FALSE)*Tabla5[[#This Row],[Cantidad 10]],0)</f>
        <v>0</v>
      </c>
      <c r="AN13" s="1">
        <f>IFERROR(VLOOKUP(Tabla5[[#This Row],[Producto 11]],Tabla3[[Nombre]:[Ud]],5,FALSE)*Tabla5[[#This Row],[Cantidad 11]],0)</f>
        <v>0</v>
      </c>
      <c r="AQ13" s="1">
        <f>IFERROR(VLOOKUP(Tabla5[[#This Row],[Producto 12]],Tabla3[[Nombre]:[Ud]],5,FALSE)*Tabla5[[#This Row],[Cantidad 12]],0)</f>
        <v>0</v>
      </c>
      <c r="AT13" s="1">
        <f>IFERROR(VLOOKUP(Tabla5[[#This Row],[Producto 13]],Tabla3[[Nombre]:[Ud]],5,FALSE)*Tabla5[[#This Row],[Cantidad 13]],0)</f>
        <v>0</v>
      </c>
      <c r="AW13" s="1">
        <f>IFERROR(VLOOKUP(Tabla5[[#This Row],[Producto 14]],Tabla3[[Nombre]:[Ud]],5,FALSE)*Tabla5[[#This Row],[Cantidad 14]],0)</f>
        <v>0</v>
      </c>
      <c r="AZ13" s="1">
        <f>IFERROR(VLOOKUP(Tabla5[[#This Row],[Producto 15]],Tabla3[[Nombre]:[Ud]],5,FALSE)*Tabla5[[#This Row],[Cantidad 15]],0)</f>
        <v>0</v>
      </c>
      <c r="BC13" s="1">
        <f>IFERROR(VLOOKUP(Tabla5[[#This Row],[Producto 16]],Tabla3[[Nombre]:[Ud]],5,FALSE)*Tabla5[[#This Row],[Cantidad 16]],0)</f>
        <v>0</v>
      </c>
      <c r="BF13" s="1">
        <f>IFERROR(VLOOKUP(Tabla5[[#This Row],[Producto 17]],Tabla3[[Nombre]:[Ud]],5,FALSE)*Tabla5[[#This Row],[Cantidad 17]],0)</f>
        <v>0</v>
      </c>
      <c r="BI13" s="1">
        <f>IFERROR(VLOOKUP(Tabla5[[#This Row],[Producto 18]],Tabla3[[Nombre]:[Ud]],5,FALSE)*Tabla5[[#This Row],[Cantidad 18]],0)</f>
        <v>0</v>
      </c>
      <c r="BL13" s="1">
        <f>IFERROR(VLOOKUP(Tabla5[[#This Row],[Producto 19]],Tabla3[[Nombre]:[Ud]],5,FALSE)*Tabla5[[#This Row],[Cantidad 19]],0)</f>
        <v>0</v>
      </c>
      <c r="BO13" s="1">
        <f>IFERROR(VLOOKUP(Tabla5[[#This Row],[Producto 20]],Tabla3[[Nombre]:[Ud]],5,FALSE)*Tabla5[[#This Row],[Cantidad 20]],0)</f>
        <v>0</v>
      </c>
      <c r="BR13" s="1">
        <f>IFERROR(VLOOKUP(Tabla5[[#This Row],[Producto 21]],Tabla3[[Nombre]:[Ud]],5,FALSE)*Tabla5[[#This Row],[Cantidad 21]],0)</f>
        <v>0</v>
      </c>
      <c r="BU13" s="1">
        <f>IFERROR(VLOOKUP(Tabla5[[#This Row],[Producto 22]],Tabla3[[Nombre]:[Ud]],5,FALSE)*Tabla5[[#This Row],[Cantidad 22]],0)</f>
        <v>0</v>
      </c>
      <c r="BX13" s="1">
        <f>IFERROR(VLOOKUP(Tabla5[[#This Row],[Producto 23]],Tabla3[[Nombre]:[Ud]],5,FALSE)*Tabla5[[#This Row],[Cantidad 23]],0)</f>
        <v>0</v>
      </c>
      <c r="CA13" s="1">
        <f>IFERROR(VLOOKUP(Tabla5[[#This Row],[Producto 24]],Tabla3[[Nombre]:[Ud]],5,FALSE)*Tabla5[[#This Row],[Cantidad 24]],0)</f>
        <v>0</v>
      </c>
      <c r="CD13" s="1">
        <f>IFERROR(VLOOKUP(Tabla5[[#This Row],[Producto 25]],Tabla3[[Nombre]:[Ud]],5,FALSE)*Tabla5[[#This Row],[Cantidad 25]],0)</f>
        <v>0</v>
      </c>
      <c r="CG13" s="1">
        <f>IFERROR(VLOOKUP(Tabla5[[#This Row],[Producto 26]],Tabla3[[Nombre]:[Ud]],5,FALSE)*Tabla5[[#This Row],[Cantidad 26]],0)</f>
        <v>0</v>
      </c>
      <c r="CJ13" s="1">
        <f>IFERROR(VLOOKUP(Tabla5[[#This Row],[Producto 27]],Tabla3[[Nombre]:[Ud]],5,FALSE)*Tabla5[[#This Row],[Cantidad 27]],0)</f>
        <v>0</v>
      </c>
      <c r="CM13" s="1">
        <f>IFERROR(VLOOKUP(Tabla5[[#This Row],[Producto 28]],Tabla3[[Nombre]:[Ud]],5,FALSE)*Tabla5[[#This Row],[Cantidad 28]],0)</f>
        <v>0</v>
      </c>
      <c r="CP13" s="1">
        <f>IFERROR(VLOOKUP(Tabla5[[#This Row],[Producto 29]],Tabla3[[Nombre]:[Ud]],5,FALSE)*Tabla5[[#This Row],[Cantidad 29]],0)</f>
        <v>0</v>
      </c>
      <c r="CS13" s="1">
        <f>IFERROR(VLOOKUP(Tabla5[[#This Row],[Producto 30]],Tabla3[[Nombre]:[Ud]],5,FALSE)*Tabla5[[#This Row],[Cantidad 30]],0)</f>
        <v>0</v>
      </c>
    </row>
    <row r="14" spans="1:97" x14ac:dyDescent="0.35">
      <c r="A14">
        <v>12</v>
      </c>
      <c r="D14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14" s="1">
        <f>Tabla5[[#This Row],[Minutos]]*Tabla13[[#Totals],[Precio Unitario]]</f>
        <v>0</v>
      </c>
      <c r="G14" s="1">
        <f>IFERROR(VLOOKUP(Tabla5[[#This Row],[Persona]],Tabla1[[Nombre]:[Ud]],7,FALSE) *Tabla5[[#This Row],[Minutos]],0)</f>
        <v>0</v>
      </c>
      <c r="J14" s="1">
        <f>IFERROR(VLOOKUP(Tabla5[[#This Row],[Producto 1]],Tabla3[[Nombre]:[Ud]],5,FALSE)*Tabla5[[#This Row],[Cantidad 1]],0)</f>
        <v>0</v>
      </c>
      <c r="M14" s="1">
        <f>IFERROR(VLOOKUP(Tabla5[[#This Row],[Producto 2]],Tabla3[[Nombre]:[Ud]],5,FALSE)*Tabla5[[#This Row],[Cantidad 2]],0)</f>
        <v>0</v>
      </c>
      <c r="P14" s="1">
        <f>IFERROR(VLOOKUP(Tabla5[[#This Row],[Producto 3]],Tabla3[[Nombre]:[Ud]],5,FALSE)*Tabla5[[#This Row],[Cantidad 3]],0)</f>
        <v>0</v>
      </c>
      <c r="S14" s="1">
        <f>IFERROR(VLOOKUP(Tabla5[[#This Row],[Producto 4]],Tabla3[[Nombre]:[Ud]],5,FALSE)*Tabla5[[#This Row],[Cantidad 4]],0)</f>
        <v>0</v>
      </c>
      <c r="V14" s="1">
        <f>IFERROR(VLOOKUP(Tabla5[[#This Row],[Producto 5]],Tabla3[[Nombre]:[Ud]],5,FALSE)*Tabla5[[#This Row],[Cantidad 5]],0)</f>
        <v>0</v>
      </c>
      <c r="Y14" s="1">
        <f>IFERROR(VLOOKUP(Tabla5[[#This Row],[Producto 6]],Tabla3[[Nombre]:[Ud]],5,FALSE)*Tabla5[[#This Row],[Cantidad 6]],0)</f>
        <v>0</v>
      </c>
      <c r="AB14" s="1">
        <f>IFERROR(VLOOKUP(Tabla5[[#This Row],[Producto 7]],Tabla3[[Nombre]:[Ud]],5,FALSE)*Tabla5[[#This Row],[Cantidad 7]],0)</f>
        <v>0</v>
      </c>
      <c r="AE14" s="1">
        <f>IFERROR(VLOOKUP(Tabla5[[#This Row],[Producto 8]],Tabla3[[Nombre]:[Ud]],5,FALSE)*Tabla5[[#This Row],[Cantidad 8]],0)</f>
        <v>0</v>
      </c>
      <c r="AH14" s="1">
        <f>IFERROR(VLOOKUP(Tabla5[[#This Row],[Producto 9]],Tabla3[[Nombre]:[Ud]],5,FALSE)*Tabla5[[#This Row],[Cantidad 9]],0)</f>
        <v>0</v>
      </c>
      <c r="AK14" s="1">
        <f>IFERROR(VLOOKUP(Tabla5[[#This Row],[Producto 10]],Tabla3[[Nombre]:[Ud]],5,FALSE)*Tabla5[[#This Row],[Cantidad 10]],0)</f>
        <v>0</v>
      </c>
      <c r="AN14" s="1">
        <f>IFERROR(VLOOKUP(Tabla5[[#This Row],[Producto 11]],Tabla3[[Nombre]:[Ud]],5,FALSE)*Tabla5[[#This Row],[Cantidad 11]],0)</f>
        <v>0</v>
      </c>
      <c r="AQ14" s="1">
        <f>IFERROR(VLOOKUP(Tabla5[[#This Row],[Producto 12]],Tabla3[[Nombre]:[Ud]],5,FALSE)*Tabla5[[#This Row],[Cantidad 12]],0)</f>
        <v>0</v>
      </c>
      <c r="AT14" s="1">
        <f>IFERROR(VLOOKUP(Tabla5[[#This Row],[Producto 13]],Tabla3[[Nombre]:[Ud]],5,FALSE)*Tabla5[[#This Row],[Cantidad 13]],0)</f>
        <v>0</v>
      </c>
      <c r="AW14" s="1">
        <f>IFERROR(VLOOKUP(Tabla5[[#This Row],[Producto 14]],Tabla3[[Nombre]:[Ud]],5,FALSE)*Tabla5[[#This Row],[Cantidad 14]],0)</f>
        <v>0</v>
      </c>
      <c r="AZ14" s="1">
        <f>IFERROR(VLOOKUP(Tabla5[[#This Row],[Producto 15]],Tabla3[[Nombre]:[Ud]],5,FALSE)*Tabla5[[#This Row],[Cantidad 15]],0)</f>
        <v>0</v>
      </c>
      <c r="BC14" s="1">
        <f>IFERROR(VLOOKUP(Tabla5[[#This Row],[Producto 16]],Tabla3[[Nombre]:[Ud]],5,FALSE)*Tabla5[[#This Row],[Cantidad 16]],0)</f>
        <v>0</v>
      </c>
      <c r="BF14" s="1">
        <f>IFERROR(VLOOKUP(Tabla5[[#This Row],[Producto 17]],Tabla3[[Nombre]:[Ud]],5,FALSE)*Tabla5[[#This Row],[Cantidad 17]],0)</f>
        <v>0</v>
      </c>
      <c r="BI14" s="1">
        <f>IFERROR(VLOOKUP(Tabla5[[#This Row],[Producto 18]],Tabla3[[Nombre]:[Ud]],5,FALSE)*Tabla5[[#This Row],[Cantidad 18]],0)</f>
        <v>0</v>
      </c>
      <c r="BL14" s="1">
        <f>IFERROR(VLOOKUP(Tabla5[[#This Row],[Producto 19]],Tabla3[[Nombre]:[Ud]],5,FALSE)*Tabla5[[#This Row],[Cantidad 19]],0)</f>
        <v>0</v>
      </c>
      <c r="BO14" s="1">
        <f>IFERROR(VLOOKUP(Tabla5[[#This Row],[Producto 20]],Tabla3[[Nombre]:[Ud]],5,FALSE)*Tabla5[[#This Row],[Cantidad 20]],0)</f>
        <v>0</v>
      </c>
      <c r="BR14" s="1">
        <f>IFERROR(VLOOKUP(Tabla5[[#This Row],[Producto 21]],Tabla3[[Nombre]:[Ud]],5,FALSE)*Tabla5[[#This Row],[Cantidad 21]],0)</f>
        <v>0</v>
      </c>
      <c r="BU14" s="1">
        <f>IFERROR(VLOOKUP(Tabla5[[#This Row],[Producto 22]],Tabla3[[Nombre]:[Ud]],5,FALSE)*Tabla5[[#This Row],[Cantidad 22]],0)</f>
        <v>0</v>
      </c>
      <c r="BX14" s="1">
        <f>IFERROR(VLOOKUP(Tabla5[[#This Row],[Producto 23]],Tabla3[[Nombre]:[Ud]],5,FALSE)*Tabla5[[#This Row],[Cantidad 23]],0)</f>
        <v>0</v>
      </c>
      <c r="CA14" s="1">
        <f>IFERROR(VLOOKUP(Tabla5[[#This Row],[Producto 24]],Tabla3[[Nombre]:[Ud]],5,FALSE)*Tabla5[[#This Row],[Cantidad 24]],0)</f>
        <v>0</v>
      </c>
      <c r="CD14" s="1">
        <f>IFERROR(VLOOKUP(Tabla5[[#This Row],[Producto 25]],Tabla3[[Nombre]:[Ud]],5,FALSE)*Tabla5[[#This Row],[Cantidad 25]],0)</f>
        <v>0</v>
      </c>
      <c r="CG14" s="1">
        <f>IFERROR(VLOOKUP(Tabla5[[#This Row],[Producto 26]],Tabla3[[Nombre]:[Ud]],5,FALSE)*Tabla5[[#This Row],[Cantidad 26]],0)</f>
        <v>0</v>
      </c>
      <c r="CJ14" s="1">
        <f>IFERROR(VLOOKUP(Tabla5[[#This Row],[Producto 27]],Tabla3[[Nombre]:[Ud]],5,FALSE)*Tabla5[[#This Row],[Cantidad 27]],0)</f>
        <v>0</v>
      </c>
      <c r="CM14" s="1">
        <f>IFERROR(VLOOKUP(Tabla5[[#This Row],[Producto 28]],Tabla3[[Nombre]:[Ud]],5,FALSE)*Tabla5[[#This Row],[Cantidad 28]],0)</f>
        <v>0</v>
      </c>
      <c r="CP14" s="1">
        <f>IFERROR(VLOOKUP(Tabla5[[#This Row],[Producto 29]],Tabla3[[Nombre]:[Ud]],5,FALSE)*Tabla5[[#This Row],[Cantidad 29]],0)</f>
        <v>0</v>
      </c>
      <c r="CS14" s="1">
        <f>IFERROR(VLOOKUP(Tabla5[[#This Row],[Producto 30]],Tabla3[[Nombre]:[Ud]],5,FALSE)*Tabla5[[#This Row],[Cantidad 30]],0)</f>
        <v>0</v>
      </c>
    </row>
    <row r="15" spans="1:97" x14ac:dyDescent="0.35">
      <c r="A15">
        <v>13</v>
      </c>
      <c r="D15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15" s="1">
        <f>Tabla5[[#This Row],[Minutos]]*Tabla13[[#Totals],[Precio Unitario]]</f>
        <v>0</v>
      </c>
      <c r="G15" s="1">
        <f>IFERROR(VLOOKUP(Tabla5[[#This Row],[Persona]],Tabla1[[Nombre]:[Ud]],7,FALSE) *Tabla5[[#This Row],[Minutos]],0)</f>
        <v>0</v>
      </c>
      <c r="J15" s="1">
        <f>IFERROR(VLOOKUP(Tabla5[[#This Row],[Producto 1]],Tabla3[[Nombre]:[Ud]],5,FALSE)*Tabla5[[#This Row],[Cantidad 1]],0)</f>
        <v>0</v>
      </c>
      <c r="M15" s="1">
        <f>IFERROR(VLOOKUP(Tabla5[[#This Row],[Producto 2]],Tabla3[[Nombre]:[Ud]],5,FALSE)*Tabla5[[#This Row],[Cantidad 2]],0)</f>
        <v>0</v>
      </c>
      <c r="P15" s="1">
        <f>IFERROR(VLOOKUP(Tabla5[[#This Row],[Producto 3]],Tabla3[[Nombre]:[Ud]],5,FALSE)*Tabla5[[#This Row],[Cantidad 3]],0)</f>
        <v>0</v>
      </c>
      <c r="S15" s="1">
        <f>IFERROR(VLOOKUP(Tabla5[[#This Row],[Producto 4]],Tabla3[[Nombre]:[Ud]],5,FALSE)*Tabla5[[#This Row],[Cantidad 4]],0)</f>
        <v>0</v>
      </c>
      <c r="V15" s="1">
        <f>IFERROR(VLOOKUP(Tabla5[[#This Row],[Producto 5]],Tabla3[[Nombre]:[Ud]],5,FALSE)*Tabla5[[#This Row],[Cantidad 5]],0)</f>
        <v>0</v>
      </c>
      <c r="Y15" s="1">
        <f>IFERROR(VLOOKUP(Tabla5[[#This Row],[Producto 6]],Tabla3[[Nombre]:[Ud]],5,FALSE)*Tabla5[[#This Row],[Cantidad 6]],0)</f>
        <v>0</v>
      </c>
      <c r="AB15" s="1">
        <f>IFERROR(VLOOKUP(Tabla5[[#This Row],[Producto 7]],Tabla3[[Nombre]:[Ud]],5,FALSE)*Tabla5[[#This Row],[Cantidad 7]],0)</f>
        <v>0</v>
      </c>
      <c r="AE15" s="1">
        <f>IFERROR(VLOOKUP(Tabla5[[#This Row],[Producto 8]],Tabla3[[Nombre]:[Ud]],5,FALSE)*Tabla5[[#This Row],[Cantidad 8]],0)</f>
        <v>0</v>
      </c>
      <c r="AH15" s="1">
        <f>IFERROR(VLOOKUP(Tabla5[[#This Row],[Producto 9]],Tabla3[[Nombre]:[Ud]],5,FALSE)*Tabla5[[#This Row],[Cantidad 9]],0)</f>
        <v>0</v>
      </c>
      <c r="AK15" s="1">
        <f>IFERROR(VLOOKUP(Tabla5[[#This Row],[Producto 10]],Tabla3[[Nombre]:[Ud]],5,FALSE)*Tabla5[[#This Row],[Cantidad 10]],0)</f>
        <v>0</v>
      </c>
      <c r="AN15" s="1">
        <f>IFERROR(VLOOKUP(Tabla5[[#This Row],[Producto 11]],Tabla3[[Nombre]:[Ud]],5,FALSE)*Tabla5[[#This Row],[Cantidad 11]],0)</f>
        <v>0</v>
      </c>
      <c r="AQ15" s="1">
        <f>IFERROR(VLOOKUP(Tabla5[[#This Row],[Producto 12]],Tabla3[[Nombre]:[Ud]],5,FALSE)*Tabla5[[#This Row],[Cantidad 12]],0)</f>
        <v>0</v>
      </c>
      <c r="AT15" s="1">
        <f>IFERROR(VLOOKUP(Tabla5[[#This Row],[Producto 13]],Tabla3[[Nombre]:[Ud]],5,FALSE)*Tabla5[[#This Row],[Cantidad 13]],0)</f>
        <v>0</v>
      </c>
      <c r="AW15" s="1">
        <f>IFERROR(VLOOKUP(Tabla5[[#This Row],[Producto 14]],Tabla3[[Nombre]:[Ud]],5,FALSE)*Tabla5[[#This Row],[Cantidad 14]],0)</f>
        <v>0</v>
      </c>
      <c r="AZ15" s="1">
        <f>IFERROR(VLOOKUP(Tabla5[[#This Row],[Producto 15]],Tabla3[[Nombre]:[Ud]],5,FALSE)*Tabla5[[#This Row],[Cantidad 15]],0)</f>
        <v>0</v>
      </c>
      <c r="BC15" s="1">
        <f>IFERROR(VLOOKUP(Tabla5[[#This Row],[Producto 16]],Tabla3[[Nombre]:[Ud]],5,FALSE)*Tabla5[[#This Row],[Cantidad 16]],0)</f>
        <v>0</v>
      </c>
      <c r="BF15" s="1">
        <f>IFERROR(VLOOKUP(Tabla5[[#This Row],[Producto 17]],Tabla3[[Nombre]:[Ud]],5,FALSE)*Tabla5[[#This Row],[Cantidad 17]],0)</f>
        <v>0</v>
      </c>
      <c r="BI15" s="1">
        <f>IFERROR(VLOOKUP(Tabla5[[#This Row],[Producto 18]],Tabla3[[Nombre]:[Ud]],5,FALSE)*Tabla5[[#This Row],[Cantidad 18]],0)</f>
        <v>0</v>
      </c>
      <c r="BL15" s="1">
        <f>IFERROR(VLOOKUP(Tabla5[[#This Row],[Producto 19]],Tabla3[[Nombre]:[Ud]],5,FALSE)*Tabla5[[#This Row],[Cantidad 19]],0)</f>
        <v>0</v>
      </c>
      <c r="BO15" s="1">
        <f>IFERROR(VLOOKUP(Tabla5[[#This Row],[Producto 20]],Tabla3[[Nombre]:[Ud]],5,FALSE)*Tabla5[[#This Row],[Cantidad 20]],0)</f>
        <v>0</v>
      </c>
      <c r="BR15" s="1">
        <f>IFERROR(VLOOKUP(Tabla5[[#This Row],[Producto 21]],Tabla3[[Nombre]:[Ud]],5,FALSE)*Tabla5[[#This Row],[Cantidad 21]],0)</f>
        <v>0</v>
      </c>
      <c r="BU15" s="1">
        <f>IFERROR(VLOOKUP(Tabla5[[#This Row],[Producto 22]],Tabla3[[Nombre]:[Ud]],5,FALSE)*Tabla5[[#This Row],[Cantidad 22]],0)</f>
        <v>0</v>
      </c>
      <c r="BX15" s="1">
        <f>IFERROR(VLOOKUP(Tabla5[[#This Row],[Producto 23]],Tabla3[[Nombre]:[Ud]],5,FALSE)*Tabla5[[#This Row],[Cantidad 23]],0)</f>
        <v>0</v>
      </c>
      <c r="CA15" s="1">
        <f>IFERROR(VLOOKUP(Tabla5[[#This Row],[Producto 24]],Tabla3[[Nombre]:[Ud]],5,FALSE)*Tabla5[[#This Row],[Cantidad 24]],0)</f>
        <v>0</v>
      </c>
      <c r="CD15" s="1">
        <f>IFERROR(VLOOKUP(Tabla5[[#This Row],[Producto 25]],Tabla3[[Nombre]:[Ud]],5,FALSE)*Tabla5[[#This Row],[Cantidad 25]],0)</f>
        <v>0</v>
      </c>
      <c r="CG15" s="1">
        <f>IFERROR(VLOOKUP(Tabla5[[#This Row],[Producto 26]],Tabla3[[Nombre]:[Ud]],5,FALSE)*Tabla5[[#This Row],[Cantidad 26]],0)</f>
        <v>0</v>
      </c>
      <c r="CJ15" s="1">
        <f>IFERROR(VLOOKUP(Tabla5[[#This Row],[Producto 27]],Tabla3[[Nombre]:[Ud]],5,FALSE)*Tabla5[[#This Row],[Cantidad 27]],0)</f>
        <v>0</v>
      </c>
      <c r="CM15" s="1">
        <f>IFERROR(VLOOKUP(Tabla5[[#This Row],[Producto 28]],Tabla3[[Nombre]:[Ud]],5,FALSE)*Tabla5[[#This Row],[Cantidad 28]],0)</f>
        <v>0</v>
      </c>
      <c r="CP15" s="1">
        <f>IFERROR(VLOOKUP(Tabla5[[#This Row],[Producto 29]],Tabla3[[Nombre]:[Ud]],5,FALSE)*Tabla5[[#This Row],[Cantidad 29]],0)</f>
        <v>0</v>
      </c>
      <c r="CS15" s="1">
        <f>IFERROR(VLOOKUP(Tabla5[[#This Row],[Producto 30]],Tabla3[[Nombre]:[Ud]],5,FALSE)*Tabla5[[#This Row],[Cantidad 30]],0)</f>
        <v>0</v>
      </c>
    </row>
    <row r="16" spans="1:97" x14ac:dyDescent="0.35">
      <c r="A16">
        <v>14</v>
      </c>
      <c r="D16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16" s="1">
        <f>Tabla5[[#This Row],[Minutos]]*Tabla13[[#Totals],[Precio Unitario]]</f>
        <v>0</v>
      </c>
      <c r="G16" s="1">
        <f>IFERROR(VLOOKUP(Tabla5[[#This Row],[Persona]],Tabla1[[Nombre]:[Ud]],7,FALSE) *Tabla5[[#This Row],[Minutos]],0)</f>
        <v>0</v>
      </c>
      <c r="J16" s="1">
        <f>IFERROR(VLOOKUP(Tabla5[[#This Row],[Producto 1]],Tabla3[[Nombre]:[Ud]],5,FALSE)*Tabla5[[#This Row],[Cantidad 1]],0)</f>
        <v>0</v>
      </c>
      <c r="M16" s="1">
        <f>IFERROR(VLOOKUP(Tabla5[[#This Row],[Producto 2]],Tabla3[[Nombre]:[Ud]],5,FALSE)*Tabla5[[#This Row],[Cantidad 2]],0)</f>
        <v>0</v>
      </c>
      <c r="P16" s="1">
        <f>IFERROR(VLOOKUP(Tabla5[[#This Row],[Producto 3]],Tabla3[[Nombre]:[Ud]],5,FALSE)*Tabla5[[#This Row],[Cantidad 3]],0)</f>
        <v>0</v>
      </c>
      <c r="S16" s="1">
        <f>IFERROR(VLOOKUP(Tabla5[[#This Row],[Producto 4]],Tabla3[[Nombre]:[Ud]],5,FALSE)*Tabla5[[#This Row],[Cantidad 4]],0)</f>
        <v>0</v>
      </c>
      <c r="V16" s="1">
        <f>IFERROR(VLOOKUP(Tabla5[[#This Row],[Producto 5]],Tabla3[[Nombre]:[Ud]],5,FALSE)*Tabla5[[#This Row],[Cantidad 5]],0)</f>
        <v>0</v>
      </c>
      <c r="Y16" s="1">
        <f>IFERROR(VLOOKUP(Tabla5[[#This Row],[Producto 6]],Tabla3[[Nombre]:[Ud]],5,FALSE)*Tabla5[[#This Row],[Cantidad 6]],0)</f>
        <v>0</v>
      </c>
      <c r="AB16" s="1">
        <f>IFERROR(VLOOKUP(Tabla5[[#This Row],[Producto 7]],Tabla3[[Nombre]:[Ud]],5,FALSE)*Tabla5[[#This Row],[Cantidad 7]],0)</f>
        <v>0</v>
      </c>
      <c r="AE16" s="1">
        <f>IFERROR(VLOOKUP(Tabla5[[#This Row],[Producto 8]],Tabla3[[Nombre]:[Ud]],5,FALSE)*Tabla5[[#This Row],[Cantidad 8]],0)</f>
        <v>0</v>
      </c>
      <c r="AH16" s="1">
        <f>IFERROR(VLOOKUP(Tabla5[[#This Row],[Producto 9]],Tabla3[[Nombre]:[Ud]],5,FALSE)*Tabla5[[#This Row],[Cantidad 9]],0)</f>
        <v>0</v>
      </c>
      <c r="AK16" s="1">
        <f>IFERROR(VLOOKUP(Tabla5[[#This Row],[Producto 10]],Tabla3[[Nombre]:[Ud]],5,FALSE)*Tabla5[[#This Row],[Cantidad 10]],0)</f>
        <v>0</v>
      </c>
      <c r="AN16" s="1">
        <f>IFERROR(VLOOKUP(Tabla5[[#This Row],[Producto 11]],Tabla3[[Nombre]:[Ud]],5,FALSE)*Tabla5[[#This Row],[Cantidad 11]],0)</f>
        <v>0</v>
      </c>
      <c r="AQ16" s="1">
        <f>IFERROR(VLOOKUP(Tabla5[[#This Row],[Producto 12]],Tabla3[[Nombre]:[Ud]],5,FALSE)*Tabla5[[#This Row],[Cantidad 12]],0)</f>
        <v>0</v>
      </c>
      <c r="AT16" s="1">
        <f>IFERROR(VLOOKUP(Tabla5[[#This Row],[Producto 13]],Tabla3[[Nombre]:[Ud]],5,FALSE)*Tabla5[[#This Row],[Cantidad 13]],0)</f>
        <v>0</v>
      </c>
      <c r="AW16" s="1">
        <f>IFERROR(VLOOKUP(Tabla5[[#This Row],[Producto 14]],Tabla3[[Nombre]:[Ud]],5,FALSE)*Tabla5[[#This Row],[Cantidad 14]],0)</f>
        <v>0</v>
      </c>
      <c r="AZ16" s="1">
        <f>IFERROR(VLOOKUP(Tabla5[[#This Row],[Producto 15]],Tabla3[[Nombre]:[Ud]],5,FALSE)*Tabla5[[#This Row],[Cantidad 15]],0)</f>
        <v>0</v>
      </c>
      <c r="BC16" s="1">
        <f>IFERROR(VLOOKUP(Tabla5[[#This Row],[Producto 16]],Tabla3[[Nombre]:[Ud]],5,FALSE)*Tabla5[[#This Row],[Cantidad 16]],0)</f>
        <v>0</v>
      </c>
      <c r="BF16" s="1">
        <f>IFERROR(VLOOKUP(Tabla5[[#This Row],[Producto 17]],Tabla3[[Nombre]:[Ud]],5,FALSE)*Tabla5[[#This Row],[Cantidad 17]],0)</f>
        <v>0</v>
      </c>
      <c r="BI16" s="1">
        <f>IFERROR(VLOOKUP(Tabla5[[#This Row],[Producto 18]],Tabla3[[Nombre]:[Ud]],5,FALSE)*Tabla5[[#This Row],[Cantidad 18]],0)</f>
        <v>0</v>
      </c>
      <c r="BL16" s="1">
        <f>IFERROR(VLOOKUP(Tabla5[[#This Row],[Producto 19]],Tabla3[[Nombre]:[Ud]],5,FALSE)*Tabla5[[#This Row],[Cantidad 19]],0)</f>
        <v>0</v>
      </c>
      <c r="BO16" s="1">
        <f>IFERROR(VLOOKUP(Tabla5[[#This Row],[Producto 20]],Tabla3[[Nombre]:[Ud]],5,FALSE)*Tabla5[[#This Row],[Cantidad 20]],0)</f>
        <v>0</v>
      </c>
      <c r="BR16" s="1">
        <f>IFERROR(VLOOKUP(Tabla5[[#This Row],[Producto 21]],Tabla3[[Nombre]:[Ud]],5,FALSE)*Tabla5[[#This Row],[Cantidad 21]],0)</f>
        <v>0</v>
      </c>
      <c r="BU16" s="1">
        <f>IFERROR(VLOOKUP(Tabla5[[#This Row],[Producto 22]],Tabla3[[Nombre]:[Ud]],5,FALSE)*Tabla5[[#This Row],[Cantidad 22]],0)</f>
        <v>0</v>
      </c>
      <c r="BX16" s="1">
        <f>IFERROR(VLOOKUP(Tabla5[[#This Row],[Producto 23]],Tabla3[[Nombre]:[Ud]],5,FALSE)*Tabla5[[#This Row],[Cantidad 23]],0)</f>
        <v>0</v>
      </c>
      <c r="CA16" s="1">
        <f>IFERROR(VLOOKUP(Tabla5[[#This Row],[Producto 24]],Tabla3[[Nombre]:[Ud]],5,FALSE)*Tabla5[[#This Row],[Cantidad 24]],0)</f>
        <v>0</v>
      </c>
      <c r="CD16" s="1">
        <f>IFERROR(VLOOKUP(Tabla5[[#This Row],[Producto 25]],Tabla3[[Nombre]:[Ud]],5,FALSE)*Tabla5[[#This Row],[Cantidad 25]],0)</f>
        <v>0</v>
      </c>
      <c r="CG16" s="1">
        <f>IFERROR(VLOOKUP(Tabla5[[#This Row],[Producto 26]],Tabla3[[Nombre]:[Ud]],5,FALSE)*Tabla5[[#This Row],[Cantidad 26]],0)</f>
        <v>0</v>
      </c>
      <c r="CJ16" s="1">
        <f>IFERROR(VLOOKUP(Tabla5[[#This Row],[Producto 27]],Tabla3[[Nombre]:[Ud]],5,FALSE)*Tabla5[[#This Row],[Cantidad 27]],0)</f>
        <v>0</v>
      </c>
      <c r="CM16" s="1">
        <f>IFERROR(VLOOKUP(Tabla5[[#This Row],[Producto 28]],Tabla3[[Nombre]:[Ud]],5,FALSE)*Tabla5[[#This Row],[Cantidad 28]],0)</f>
        <v>0</v>
      </c>
      <c r="CP16" s="1">
        <f>IFERROR(VLOOKUP(Tabla5[[#This Row],[Producto 29]],Tabla3[[Nombre]:[Ud]],5,FALSE)*Tabla5[[#This Row],[Cantidad 29]],0)</f>
        <v>0</v>
      </c>
      <c r="CS16" s="1">
        <f>IFERROR(VLOOKUP(Tabla5[[#This Row],[Producto 30]],Tabla3[[Nombre]:[Ud]],5,FALSE)*Tabla5[[#This Row],[Cantidad 30]],0)</f>
        <v>0</v>
      </c>
    </row>
    <row r="17" spans="1:97" x14ac:dyDescent="0.35">
      <c r="A17">
        <v>15</v>
      </c>
      <c r="D17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17" s="1">
        <f>Tabla5[[#This Row],[Minutos]]*Tabla13[[#Totals],[Precio Unitario]]</f>
        <v>0</v>
      </c>
      <c r="G17" s="1">
        <f>IFERROR(VLOOKUP(Tabla5[[#This Row],[Persona]],Tabla1[[Nombre]:[Ud]],7,FALSE) *Tabla5[[#This Row],[Minutos]],0)</f>
        <v>0</v>
      </c>
      <c r="J17" s="1">
        <f>IFERROR(VLOOKUP(Tabla5[[#This Row],[Producto 1]],Tabla3[[Nombre]:[Ud]],5,FALSE)*Tabla5[[#This Row],[Cantidad 1]],0)</f>
        <v>0</v>
      </c>
      <c r="M17" s="1">
        <f>IFERROR(VLOOKUP(Tabla5[[#This Row],[Producto 2]],Tabla3[[Nombre]:[Ud]],5,FALSE)*Tabla5[[#This Row],[Cantidad 2]],0)</f>
        <v>0</v>
      </c>
      <c r="P17" s="1">
        <f>IFERROR(VLOOKUP(Tabla5[[#This Row],[Producto 3]],Tabla3[[Nombre]:[Ud]],5,FALSE)*Tabla5[[#This Row],[Cantidad 3]],0)</f>
        <v>0</v>
      </c>
      <c r="S17" s="1">
        <f>IFERROR(VLOOKUP(Tabla5[[#This Row],[Producto 4]],Tabla3[[Nombre]:[Ud]],5,FALSE)*Tabla5[[#This Row],[Cantidad 4]],0)</f>
        <v>0</v>
      </c>
      <c r="V17" s="1">
        <f>IFERROR(VLOOKUP(Tabla5[[#This Row],[Producto 5]],Tabla3[[Nombre]:[Ud]],5,FALSE)*Tabla5[[#This Row],[Cantidad 5]],0)</f>
        <v>0</v>
      </c>
      <c r="Y17" s="1">
        <f>IFERROR(VLOOKUP(Tabla5[[#This Row],[Producto 6]],Tabla3[[Nombre]:[Ud]],5,FALSE)*Tabla5[[#This Row],[Cantidad 6]],0)</f>
        <v>0</v>
      </c>
      <c r="AB17" s="1">
        <f>IFERROR(VLOOKUP(Tabla5[[#This Row],[Producto 7]],Tabla3[[Nombre]:[Ud]],5,FALSE)*Tabla5[[#This Row],[Cantidad 7]],0)</f>
        <v>0</v>
      </c>
      <c r="AE17" s="1">
        <f>IFERROR(VLOOKUP(Tabla5[[#This Row],[Producto 8]],Tabla3[[Nombre]:[Ud]],5,FALSE)*Tabla5[[#This Row],[Cantidad 8]],0)</f>
        <v>0</v>
      </c>
      <c r="AH17" s="1">
        <f>IFERROR(VLOOKUP(Tabla5[[#This Row],[Producto 9]],Tabla3[[Nombre]:[Ud]],5,FALSE)*Tabla5[[#This Row],[Cantidad 9]],0)</f>
        <v>0</v>
      </c>
      <c r="AK17" s="1">
        <f>IFERROR(VLOOKUP(Tabla5[[#This Row],[Producto 10]],Tabla3[[Nombre]:[Ud]],5,FALSE)*Tabla5[[#This Row],[Cantidad 10]],0)</f>
        <v>0</v>
      </c>
      <c r="AN17" s="1">
        <f>IFERROR(VLOOKUP(Tabla5[[#This Row],[Producto 11]],Tabla3[[Nombre]:[Ud]],5,FALSE)*Tabla5[[#This Row],[Cantidad 11]],0)</f>
        <v>0</v>
      </c>
      <c r="AQ17" s="1">
        <f>IFERROR(VLOOKUP(Tabla5[[#This Row],[Producto 12]],Tabla3[[Nombre]:[Ud]],5,FALSE)*Tabla5[[#This Row],[Cantidad 12]],0)</f>
        <v>0</v>
      </c>
      <c r="AT17" s="1">
        <f>IFERROR(VLOOKUP(Tabla5[[#This Row],[Producto 13]],Tabla3[[Nombre]:[Ud]],5,FALSE)*Tabla5[[#This Row],[Cantidad 13]],0)</f>
        <v>0</v>
      </c>
      <c r="AW17" s="1">
        <f>IFERROR(VLOOKUP(Tabla5[[#This Row],[Producto 14]],Tabla3[[Nombre]:[Ud]],5,FALSE)*Tabla5[[#This Row],[Cantidad 14]],0)</f>
        <v>0</v>
      </c>
      <c r="AZ17" s="1">
        <f>IFERROR(VLOOKUP(Tabla5[[#This Row],[Producto 15]],Tabla3[[Nombre]:[Ud]],5,FALSE)*Tabla5[[#This Row],[Cantidad 15]],0)</f>
        <v>0</v>
      </c>
      <c r="BC17" s="1">
        <f>IFERROR(VLOOKUP(Tabla5[[#This Row],[Producto 16]],Tabla3[[Nombre]:[Ud]],5,FALSE)*Tabla5[[#This Row],[Cantidad 16]],0)</f>
        <v>0</v>
      </c>
      <c r="BF17" s="1">
        <f>IFERROR(VLOOKUP(Tabla5[[#This Row],[Producto 17]],Tabla3[[Nombre]:[Ud]],5,FALSE)*Tabla5[[#This Row],[Cantidad 17]],0)</f>
        <v>0</v>
      </c>
      <c r="BI17" s="1">
        <f>IFERROR(VLOOKUP(Tabla5[[#This Row],[Producto 18]],Tabla3[[Nombre]:[Ud]],5,FALSE)*Tabla5[[#This Row],[Cantidad 18]],0)</f>
        <v>0</v>
      </c>
      <c r="BL17" s="1">
        <f>IFERROR(VLOOKUP(Tabla5[[#This Row],[Producto 19]],Tabla3[[Nombre]:[Ud]],5,FALSE)*Tabla5[[#This Row],[Cantidad 19]],0)</f>
        <v>0</v>
      </c>
      <c r="BO17" s="1">
        <f>IFERROR(VLOOKUP(Tabla5[[#This Row],[Producto 20]],Tabla3[[Nombre]:[Ud]],5,FALSE)*Tabla5[[#This Row],[Cantidad 20]],0)</f>
        <v>0</v>
      </c>
      <c r="BR17" s="1">
        <f>IFERROR(VLOOKUP(Tabla5[[#This Row],[Producto 21]],Tabla3[[Nombre]:[Ud]],5,FALSE)*Tabla5[[#This Row],[Cantidad 21]],0)</f>
        <v>0</v>
      </c>
      <c r="BU17" s="1">
        <f>IFERROR(VLOOKUP(Tabla5[[#This Row],[Producto 22]],Tabla3[[Nombre]:[Ud]],5,FALSE)*Tabla5[[#This Row],[Cantidad 22]],0)</f>
        <v>0</v>
      </c>
      <c r="BX17" s="1">
        <f>IFERROR(VLOOKUP(Tabla5[[#This Row],[Producto 23]],Tabla3[[Nombre]:[Ud]],5,FALSE)*Tabla5[[#This Row],[Cantidad 23]],0)</f>
        <v>0</v>
      </c>
      <c r="CA17" s="1">
        <f>IFERROR(VLOOKUP(Tabla5[[#This Row],[Producto 24]],Tabla3[[Nombre]:[Ud]],5,FALSE)*Tabla5[[#This Row],[Cantidad 24]],0)</f>
        <v>0</v>
      </c>
      <c r="CD17" s="1">
        <f>IFERROR(VLOOKUP(Tabla5[[#This Row],[Producto 25]],Tabla3[[Nombre]:[Ud]],5,FALSE)*Tabla5[[#This Row],[Cantidad 25]],0)</f>
        <v>0</v>
      </c>
      <c r="CG17" s="1">
        <f>IFERROR(VLOOKUP(Tabla5[[#This Row],[Producto 26]],Tabla3[[Nombre]:[Ud]],5,FALSE)*Tabla5[[#This Row],[Cantidad 26]],0)</f>
        <v>0</v>
      </c>
      <c r="CJ17" s="1">
        <f>IFERROR(VLOOKUP(Tabla5[[#This Row],[Producto 27]],Tabla3[[Nombre]:[Ud]],5,FALSE)*Tabla5[[#This Row],[Cantidad 27]],0)</f>
        <v>0</v>
      </c>
      <c r="CM17" s="1">
        <f>IFERROR(VLOOKUP(Tabla5[[#This Row],[Producto 28]],Tabla3[[Nombre]:[Ud]],5,FALSE)*Tabla5[[#This Row],[Cantidad 28]],0)</f>
        <v>0</v>
      </c>
      <c r="CP17" s="1">
        <f>IFERROR(VLOOKUP(Tabla5[[#This Row],[Producto 29]],Tabla3[[Nombre]:[Ud]],5,FALSE)*Tabla5[[#This Row],[Cantidad 29]],0)</f>
        <v>0</v>
      </c>
      <c r="CS17" s="1">
        <f>IFERROR(VLOOKUP(Tabla5[[#This Row],[Producto 30]],Tabla3[[Nombre]:[Ud]],5,FALSE)*Tabla5[[#This Row],[Cantidad 30]],0)</f>
        <v>0</v>
      </c>
    </row>
    <row r="18" spans="1:97" x14ac:dyDescent="0.35">
      <c r="A18">
        <v>16</v>
      </c>
      <c r="D18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18" s="1">
        <f>Tabla5[[#This Row],[Minutos]]*Tabla13[[#Totals],[Precio Unitario]]</f>
        <v>0</v>
      </c>
      <c r="G18" s="1">
        <f>IFERROR(VLOOKUP(Tabla5[[#This Row],[Persona]],Tabla1[[Nombre]:[Ud]],7,FALSE) *Tabla5[[#This Row],[Minutos]],0)</f>
        <v>0</v>
      </c>
      <c r="J18" s="1">
        <f>IFERROR(VLOOKUP(Tabla5[[#This Row],[Producto 1]],Tabla3[[Nombre]:[Ud]],5,FALSE)*Tabla5[[#This Row],[Cantidad 1]],0)</f>
        <v>0</v>
      </c>
      <c r="M18" s="1">
        <f>IFERROR(VLOOKUP(Tabla5[[#This Row],[Producto 2]],Tabla3[[Nombre]:[Ud]],5,FALSE)*Tabla5[[#This Row],[Cantidad 2]],0)</f>
        <v>0</v>
      </c>
      <c r="P18" s="1">
        <f>IFERROR(VLOOKUP(Tabla5[[#This Row],[Producto 3]],Tabla3[[Nombre]:[Ud]],5,FALSE)*Tabla5[[#This Row],[Cantidad 3]],0)</f>
        <v>0</v>
      </c>
      <c r="S18" s="1">
        <f>IFERROR(VLOOKUP(Tabla5[[#This Row],[Producto 4]],Tabla3[[Nombre]:[Ud]],5,FALSE)*Tabla5[[#This Row],[Cantidad 4]],0)</f>
        <v>0</v>
      </c>
      <c r="V18" s="1">
        <f>IFERROR(VLOOKUP(Tabla5[[#This Row],[Producto 5]],Tabla3[[Nombre]:[Ud]],5,FALSE)*Tabla5[[#This Row],[Cantidad 5]],0)</f>
        <v>0</v>
      </c>
      <c r="Y18" s="1">
        <f>IFERROR(VLOOKUP(Tabla5[[#This Row],[Producto 6]],Tabla3[[Nombre]:[Ud]],5,FALSE)*Tabla5[[#This Row],[Cantidad 6]],0)</f>
        <v>0</v>
      </c>
      <c r="AB18" s="1">
        <f>IFERROR(VLOOKUP(Tabla5[[#This Row],[Producto 7]],Tabla3[[Nombre]:[Ud]],5,FALSE)*Tabla5[[#This Row],[Cantidad 7]],0)</f>
        <v>0</v>
      </c>
      <c r="AE18" s="1">
        <f>IFERROR(VLOOKUP(Tabla5[[#This Row],[Producto 8]],Tabla3[[Nombre]:[Ud]],5,FALSE)*Tabla5[[#This Row],[Cantidad 8]],0)</f>
        <v>0</v>
      </c>
      <c r="AH18" s="1">
        <f>IFERROR(VLOOKUP(Tabla5[[#This Row],[Producto 9]],Tabla3[[Nombre]:[Ud]],5,FALSE)*Tabla5[[#This Row],[Cantidad 9]],0)</f>
        <v>0</v>
      </c>
      <c r="AK18" s="1">
        <f>IFERROR(VLOOKUP(Tabla5[[#This Row],[Producto 10]],Tabla3[[Nombre]:[Ud]],5,FALSE)*Tabla5[[#This Row],[Cantidad 10]],0)</f>
        <v>0</v>
      </c>
      <c r="AN18" s="1">
        <f>IFERROR(VLOOKUP(Tabla5[[#This Row],[Producto 11]],Tabla3[[Nombre]:[Ud]],5,FALSE)*Tabla5[[#This Row],[Cantidad 11]],0)</f>
        <v>0</v>
      </c>
      <c r="AQ18" s="1">
        <f>IFERROR(VLOOKUP(Tabla5[[#This Row],[Producto 12]],Tabla3[[Nombre]:[Ud]],5,FALSE)*Tabla5[[#This Row],[Cantidad 12]],0)</f>
        <v>0</v>
      </c>
      <c r="AT18" s="1">
        <f>IFERROR(VLOOKUP(Tabla5[[#This Row],[Producto 13]],Tabla3[[Nombre]:[Ud]],5,FALSE)*Tabla5[[#This Row],[Cantidad 13]],0)</f>
        <v>0</v>
      </c>
      <c r="AW18" s="1">
        <f>IFERROR(VLOOKUP(Tabla5[[#This Row],[Producto 14]],Tabla3[[Nombre]:[Ud]],5,FALSE)*Tabla5[[#This Row],[Cantidad 14]],0)</f>
        <v>0</v>
      </c>
      <c r="AZ18" s="1">
        <f>IFERROR(VLOOKUP(Tabla5[[#This Row],[Producto 15]],Tabla3[[Nombre]:[Ud]],5,FALSE)*Tabla5[[#This Row],[Cantidad 15]],0)</f>
        <v>0</v>
      </c>
      <c r="BC18" s="1">
        <f>IFERROR(VLOOKUP(Tabla5[[#This Row],[Producto 16]],Tabla3[[Nombre]:[Ud]],5,FALSE)*Tabla5[[#This Row],[Cantidad 16]],0)</f>
        <v>0</v>
      </c>
      <c r="BF18" s="1">
        <f>IFERROR(VLOOKUP(Tabla5[[#This Row],[Producto 17]],Tabla3[[Nombre]:[Ud]],5,FALSE)*Tabla5[[#This Row],[Cantidad 17]],0)</f>
        <v>0</v>
      </c>
      <c r="BI18" s="1">
        <f>IFERROR(VLOOKUP(Tabla5[[#This Row],[Producto 18]],Tabla3[[Nombre]:[Ud]],5,FALSE)*Tabla5[[#This Row],[Cantidad 18]],0)</f>
        <v>0</v>
      </c>
      <c r="BL18" s="1">
        <f>IFERROR(VLOOKUP(Tabla5[[#This Row],[Producto 19]],Tabla3[[Nombre]:[Ud]],5,FALSE)*Tabla5[[#This Row],[Cantidad 19]],0)</f>
        <v>0</v>
      </c>
      <c r="BO18" s="1">
        <f>IFERROR(VLOOKUP(Tabla5[[#This Row],[Producto 20]],Tabla3[[Nombre]:[Ud]],5,FALSE)*Tabla5[[#This Row],[Cantidad 20]],0)</f>
        <v>0</v>
      </c>
      <c r="BR18" s="1">
        <f>IFERROR(VLOOKUP(Tabla5[[#This Row],[Producto 21]],Tabla3[[Nombre]:[Ud]],5,FALSE)*Tabla5[[#This Row],[Cantidad 21]],0)</f>
        <v>0</v>
      </c>
      <c r="BU18" s="1">
        <f>IFERROR(VLOOKUP(Tabla5[[#This Row],[Producto 22]],Tabla3[[Nombre]:[Ud]],5,FALSE)*Tabla5[[#This Row],[Cantidad 22]],0)</f>
        <v>0</v>
      </c>
      <c r="BX18" s="1">
        <f>IFERROR(VLOOKUP(Tabla5[[#This Row],[Producto 23]],Tabla3[[Nombre]:[Ud]],5,FALSE)*Tabla5[[#This Row],[Cantidad 23]],0)</f>
        <v>0</v>
      </c>
      <c r="CA18" s="1">
        <f>IFERROR(VLOOKUP(Tabla5[[#This Row],[Producto 24]],Tabla3[[Nombre]:[Ud]],5,FALSE)*Tabla5[[#This Row],[Cantidad 24]],0)</f>
        <v>0</v>
      </c>
      <c r="CD18" s="1">
        <f>IFERROR(VLOOKUP(Tabla5[[#This Row],[Producto 25]],Tabla3[[Nombre]:[Ud]],5,FALSE)*Tabla5[[#This Row],[Cantidad 25]],0)</f>
        <v>0</v>
      </c>
      <c r="CG18" s="1">
        <f>IFERROR(VLOOKUP(Tabla5[[#This Row],[Producto 26]],Tabla3[[Nombre]:[Ud]],5,FALSE)*Tabla5[[#This Row],[Cantidad 26]],0)</f>
        <v>0</v>
      </c>
      <c r="CJ18" s="1">
        <f>IFERROR(VLOOKUP(Tabla5[[#This Row],[Producto 27]],Tabla3[[Nombre]:[Ud]],5,FALSE)*Tabla5[[#This Row],[Cantidad 27]],0)</f>
        <v>0</v>
      </c>
      <c r="CM18" s="1">
        <f>IFERROR(VLOOKUP(Tabla5[[#This Row],[Producto 28]],Tabla3[[Nombre]:[Ud]],5,FALSE)*Tabla5[[#This Row],[Cantidad 28]],0)</f>
        <v>0</v>
      </c>
      <c r="CP18" s="1">
        <f>IFERROR(VLOOKUP(Tabla5[[#This Row],[Producto 29]],Tabla3[[Nombre]:[Ud]],5,FALSE)*Tabla5[[#This Row],[Cantidad 29]],0)</f>
        <v>0</v>
      </c>
      <c r="CS18" s="1">
        <f>IFERROR(VLOOKUP(Tabla5[[#This Row],[Producto 30]],Tabla3[[Nombre]:[Ud]],5,FALSE)*Tabla5[[#This Row],[Cantidad 30]],0)</f>
        <v>0</v>
      </c>
    </row>
    <row r="19" spans="1:97" x14ac:dyDescent="0.35">
      <c r="A19">
        <v>17</v>
      </c>
      <c r="D19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19" s="1">
        <f>Tabla5[[#This Row],[Minutos]]*Tabla13[[#Totals],[Precio Unitario]]</f>
        <v>0</v>
      </c>
      <c r="G19" s="1">
        <f>IFERROR(VLOOKUP(Tabla5[[#This Row],[Persona]],Tabla1[[Nombre]:[Ud]],7,FALSE) *Tabla5[[#This Row],[Minutos]],0)</f>
        <v>0</v>
      </c>
      <c r="J19" s="1">
        <f>IFERROR(VLOOKUP(Tabla5[[#This Row],[Producto 1]],Tabla3[[Nombre]:[Ud]],5,FALSE)*Tabla5[[#This Row],[Cantidad 1]],0)</f>
        <v>0</v>
      </c>
      <c r="M19" s="1">
        <f>IFERROR(VLOOKUP(Tabla5[[#This Row],[Producto 2]],Tabla3[[Nombre]:[Ud]],5,FALSE)*Tabla5[[#This Row],[Cantidad 2]],0)</f>
        <v>0</v>
      </c>
      <c r="P19" s="1">
        <f>IFERROR(VLOOKUP(Tabla5[[#This Row],[Producto 3]],Tabla3[[Nombre]:[Ud]],5,FALSE)*Tabla5[[#This Row],[Cantidad 3]],0)</f>
        <v>0</v>
      </c>
      <c r="S19" s="1">
        <f>IFERROR(VLOOKUP(Tabla5[[#This Row],[Producto 4]],Tabla3[[Nombre]:[Ud]],5,FALSE)*Tabla5[[#This Row],[Cantidad 4]],0)</f>
        <v>0</v>
      </c>
      <c r="V19" s="1">
        <f>IFERROR(VLOOKUP(Tabla5[[#This Row],[Producto 5]],Tabla3[[Nombre]:[Ud]],5,FALSE)*Tabla5[[#This Row],[Cantidad 5]],0)</f>
        <v>0</v>
      </c>
      <c r="Y19" s="1">
        <f>IFERROR(VLOOKUP(Tabla5[[#This Row],[Producto 6]],Tabla3[[Nombre]:[Ud]],5,FALSE)*Tabla5[[#This Row],[Cantidad 6]],0)</f>
        <v>0</v>
      </c>
      <c r="AB19" s="1">
        <f>IFERROR(VLOOKUP(Tabla5[[#This Row],[Producto 7]],Tabla3[[Nombre]:[Ud]],5,FALSE)*Tabla5[[#This Row],[Cantidad 7]],0)</f>
        <v>0</v>
      </c>
      <c r="AE19" s="1">
        <f>IFERROR(VLOOKUP(Tabla5[[#This Row],[Producto 8]],Tabla3[[Nombre]:[Ud]],5,FALSE)*Tabla5[[#This Row],[Cantidad 8]],0)</f>
        <v>0</v>
      </c>
      <c r="AH19" s="1">
        <f>IFERROR(VLOOKUP(Tabla5[[#This Row],[Producto 9]],Tabla3[[Nombre]:[Ud]],5,FALSE)*Tabla5[[#This Row],[Cantidad 9]],0)</f>
        <v>0</v>
      </c>
      <c r="AK19" s="1">
        <f>IFERROR(VLOOKUP(Tabla5[[#This Row],[Producto 10]],Tabla3[[Nombre]:[Ud]],5,FALSE)*Tabla5[[#This Row],[Cantidad 10]],0)</f>
        <v>0</v>
      </c>
      <c r="AN19" s="1">
        <f>IFERROR(VLOOKUP(Tabla5[[#This Row],[Producto 11]],Tabla3[[Nombre]:[Ud]],5,FALSE)*Tabla5[[#This Row],[Cantidad 11]],0)</f>
        <v>0</v>
      </c>
      <c r="AQ19" s="1">
        <f>IFERROR(VLOOKUP(Tabla5[[#This Row],[Producto 12]],Tabla3[[Nombre]:[Ud]],5,FALSE)*Tabla5[[#This Row],[Cantidad 12]],0)</f>
        <v>0</v>
      </c>
      <c r="AT19" s="1">
        <f>IFERROR(VLOOKUP(Tabla5[[#This Row],[Producto 13]],Tabla3[[Nombre]:[Ud]],5,FALSE)*Tabla5[[#This Row],[Cantidad 13]],0)</f>
        <v>0</v>
      </c>
      <c r="AW19" s="1">
        <f>IFERROR(VLOOKUP(Tabla5[[#This Row],[Producto 14]],Tabla3[[Nombre]:[Ud]],5,FALSE)*Tabla5[[#This Row],[Cantidad 14]],0)</f>
        <v>0</v>
      </c>
      <c r="AZ19" s="1">
        <f>IFERROR(VLOOKUP(Tabla5[[#This Row],[Producto 15]],Tabla3[[Nombre]:[Ud]],5,FALSE)*Tabla5[[#This Row],[Cantidad 15]],0)</f>
        <v>0</v>
      </c>
      <c r="BC19" s="1">
        <f>IFERROR(VLOOKUP(Tabla5[[#This Row],[Producto 16]],Tabla3[[Nombre]:[Ud]],5,FALSE)*Tabla5[[#This Row],[Cantidad 16]],0)</f>
        <v>0</v>
      </c>
      <c r="BF19" s="1">
        <f>IFERROR(VLOOKUP(Tabla5[[#This Row],[Producto 17]],Tabla3[[Nombre]:[Ud]],5,FALSE)*Tabla5[[#This Row],[Cantidad 17]],0)</f>
        <v>0</v>
      </c>
      <c r="BI19" s="1">
        <f>IFERROR(VLOOKUP(Tabla5[[#This Row],[Producto 18]],Tabla3[[Nombre]:[Ud]],5,FALSE)*Tabla5[[#This Row],[Cantidad 18]],0)</f>
        <v>0</v>
      </c>
      <c r="BL19" s="1">
        <f>IFERROR(VLOOKUP(Tabla5[[#This Row],[Producto 19]],Tabla3[[Nombre]:[Ud]],5,FALSE)*Tabla5[[#This Row],[Cantidad 19]],0)</f>
        <v>0</v>
      </c>
      <c r="BO19" s="1">
        <f>IFERROR(VLOOKUP(Tabla5[[#This Row],[Producto 20]],Tabla3[[Nombre]:[Ud]],5,FALSE)*Tabla5[[#This Row],[Cantidad 20]],0)</f>
        <v>0</v>
      </c>
      <c r="BR19" s="1">
        <f>IFERROR(VLOOKUP(Tabla5[[#This Row],[Producto 21]],Tabla3[[Nombre]:[Ud]],5,FALSE)*Tabla5[[#This Row],[Cantidad 21]],0)</f>
        <v>0</v>
      </c>
      <c r="BU19" s="1">
        <f>IFERROR(VLOOKUP(Tabla5[[#This Row],[Producto 22]],Tabla3[[Nombre]:[Ud]],5,FALSE)*Tabla5[[#This Row],[Cantidad 22]],0)</f>
        <v>0</v>
      </c>
      <c r="BX19" s="1">
        <f>IFERROR(VLOOKUP(Tabla5[[#This Row],[Producto 23]],Tabla3[[Nombre]:[Ud]],5,FALSE)*Tabla5[[#This Row],[Cantidad 23]],0)</f>
        <v>0</v>
      </c>
      <c r="CA19" s="1">
        <f>IFERROR(VLOOKUP(Tabla5[[#This Row],[Producto 24]],Tabla3[[Nombre]:[Ud]],5,FALSE)*Tabla5[[#This Row],[Cantidad 24]],0)</f>
        <v>0</v>
      </c>
      <c r="CD19" s="1">
        <f>IFERROR(VLOOKUP(Tabla5[[#This Row],[Producto 25]],Tabla3[[Nombre]:[Ud]],5,FALSE)*Tabla5[[#This Row],[Cantidad 25]],0)</f>
        <v>0</v>
      </c>
      <c r="CG19" s="1">
        <f>IFERROR(VLOOKUP(Tabla5[[#This Row],[Producto 26]],Tabla3[[Nombre]:[Ud]],5,FALSE)*Tabla5[[#This Row],[Cantidad 26]],0)</f>
        <v>0</v>
      </c>
      <c r="CJ19" s="1">
        <f>IFERROR(VLOOKUP(Tabla5[[#This Row],[Producto 27]],Tabla3[[Nombre]:[Ud]],5,FALSE)*Tabla5[[#This Row],[Cantidad 27]],0)</f>
        <v>0</v>
      </c>
      <c r="CM19" s="1">
        <f>IFERROR(VLOOKUP(Tabla5[[#This Row],[Producto 28]],Tabla3[[Nombre]:[Ud]],5,FALSE)*Tabla5[[#This Row],[Cantidad 28]],0)</f>
        <v>0</v>
      </c>
      <c r="CP19" s="1">
        <f>IFERROR(VLOOKUP(Tabla5[[#This Row],[Producto 29]],Tabla3[[Nombre]:[Ud]],5,FALSE)*Tabla5[[#This Row],[Cantidad 29]],0)</f>
        <v>0</v>
      </c>
      <c r="CS19" s="1">
        <f>IFERROR(VLOOKUP(Tabla5[[#This Row],[Producto 30]],Tabla3[[Nombre]:[Ud]],5,FALSE)*Tabla5[[#This Row],[Cantidad 30]],0)</f>
        <v>0</v>
      </c>
    </row>
    <row r="20" spans="1:97" x14ac:dyDescent="0.35">
      <c r="A20">
        <v>18</v>
      </c>
      <c r="D20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20" s="1">
        <f>Tabla5[[#This Row],[Minutos]]*Tabla13[[#Totals],[Precio Unitario]]</f>
        <v>0</v>
      </c>
      <c r="G20" s="1">
        <f>IFERROR(VLOOKUP(Tabla5[[#This Row],[Persona]],Tabla1[[Nombre]:[Ud]],7,FALSE) *Tabla5[[#This Row],[Minutos]],0)</f>
        <v>0</v>
      </c>
      <c r="J20" s="1">
        <f>IFERROR(VLOOKUP(Tabla5[[#This Row],[Producto 1]],Tabla3[[Nombre]:[Ud]],5,FALSE)*Tabla5[[#This Row],[Cantidad 1]],0)</f>
        <v>0</v>
      </c>
      <c r="M20" s="1">
        <f>IFERROR(VLOOKUP(Tabla5[[#This Row],[Producto 2]],Tabla3[[Nombre]:[Ud]],5,FALSE)*Tabla5[[#This Row],[Cantidad 2]],0)</f>
        <v>0</v>
      </c>
      <c r="P20" s="1">
        <f>IFERROR(VLOOKUP(Tabla5[[#This Row],[Producto 3]],Tabla3[[Nombre]:[Ud]],5,FALSE)*Tabla5[[#This Row],[Cantidad 3]],0)</f>
        <v>0</v>
      </c>
      <c r="S20" s="1">
        <f>IFERROR(VLOOKUP(Tabla5[[#This Row],[Producto 4]],Tabla3[[Nombre]:[Ud]],5,FALSE)*Tabla5[[#This Row],[Cantidad 4]],0)</f>
        <v>0</v>
      </c>
      <c r="V20" s="1">
        <f>IFERROR(VLOOKUP(Tabla5[[#This Row],[Producto 5]],Tabla3[[Nombre]:[Ud]],5,FALSE)*Tabla5[[#This Row],[Cantidad 5]],0)</f>
        <v>0</v>
      </c>
      <c r="Y20" s="1">
        <f>IFERROR(VLOOKUP(Tabla5[[#This Row],[Producto 6]],Tabla3[[Nombre]:[Ud]],5,FALSE)*Tabla5[[#This Row],[Cantidad 6]],0)</f>
        <v>0</v>
      </c>
      <c r="AB20" s="1">
        <f>IFERROR(VLOOKUP(Tabla5[[#This Row],[Producto 7]],Tabla3[[Nombre]:[Ud]],5,FALSE)*Tabla5[[#This Row],[Cantidad 7]],0)</f>
        <v>0</v>
      </c>
      <c r="AE20" s="1">
        <f>IFERROR(VLOOKUP(Tabla5[[#This Row],[Producto 8]],Tabla3[[Nombre]:[Ud]],5,FALSE)*Tabla5[[#This Row],[Cantidad 8]],0)</f>
        <v>0</v>
      </c>
      <c r="AH20" s="1">
        <f>IFERROR(VLOOKUP(Tabla5[[#This Row],[Producto 9]],Tabla3[[Nombre]:[Ud]],5,FALSE)*Tabla5[[#This Row],[Cantidad 9]],0)</f>
        <v>0</v>
      </c>
      <c r="AK20" s="1">
        <f>IFERROR(VLOOKUP(Tabla5[[#This Row],[Producto 10]],Tabla3[[Nombre]:[Ud]],5,FALSE)*Tabla5[[#This Row],[Cantidad 10]],0)</f>
        <v>0</v>
      </c>
      <c r="AN20" s="1">
        <f>IFERROR(VLOOKUP(Tabla5[[#This Row],[Producto 11]],Tabla3[[Nombre]:[Ud]],5,FALSE)*Tabla5[[#This Row],[Cantidad 11]],0)</f>
        <v>0</v>
      </c>
      <c r="AQ20" s="1">
        <f>IFERROR(VLOOKUP(Tabla5[[#This Row],[Producto 12]],Tabla3[[Nombre]:[Ud]],5,FALSE)*Tabla5[[#This Row],[Cantidad 12]],0)</f>
        <v>0</v>
      </c>
      <c r="AT20" s="1">
        <f>IFERROR(VLOOKUP(Tabla5[[#This Row],[Producto 13]],Tabla3[[Nombre]:[Ud]],5,FALSE)*Tabla5[[#This Row],[Cantidad 13]],0)</f>
        <v>0</v>
      </c>
      <c r="AW20" s="1">
        <f>IFERROR(VLOOKUP(Tabla5[[#This Row],[Producto 14]],Tabla3[[Nombre]:[Ud]],5,FALSE)*Tabla5[[#This Row],[Cantidad 14]],0)</f>
        <v>0</v>
      </c>
      <c r="AZ20" s="1">
        <f>IFERROR(VLOOKUP(Tabla5[[#This Row],[Producto 15]],Tabla3[[Nombre]:[Ud]],5,FALSE)*Tabla5[[#This Row],[Cantidad 15]],0)</f>
        <v>0</v>
      </c>
      <c r="BC20" s="1">
        <f>IFERROR(VLOOKUP(Tabla5[[#This Row],[Producto 16]],Tabla3[[Nombre]:[Ud]],5,FALSE)*Tabla5[[#This Row],[Cantidad 16]],0)</f>
        <v>0</v>
      </c>
      <c r="BF20" s="1">
        <f>IFERROR(VLOOKUP(Tabla5[[#This Row],[Producto 17]],Tabla3[[Nombre]:[Ud]],5,FALSE)*Tabla5[[#This Row],[Cantidad 17]],0)</f>
        <v>0</v>
      </c>
      <c r="BI20" s="1">
        <f>IFERROR(VLOOKUP(Tabla5[[#This Row],[Producto 18]],Tabla3[[Nombre]:[Ud]],5,FALSE)*Tabla5[[#This Row],[Cantidad 18]],0)</f>
        <v>0</v>
      </c>
      <c r="BL20" s="1">
        <f>IFERROR(VLOOKUP(Tabla5[[#This Row],[Producto 19]],Tabla3[[Nombre]:[Ud]],5,FALSE)*Tabla5[[#This Row],[Cantidad 19]],0)</f>
        <v>0</v>
      </c>
      <c r="BO20" s="1">
        <f>IFERROR(VLOOKUP(Tabla5[[#This Row],[Producto 20]],Tabla3[[Nombre]:[Ud]],5,FALSE)*Tabla5[[#This Row],[Cantidad 20]],0)</f>
        <v>0</v>
      </c>
      <c r="BR20" s="1">
        <f>IFERROR(VLOOKUP(Tabla5[[#This Row],[Producto 21]],Tabla3[[Nombre]:[Ud]],5,FALSE)*Tabla5[[#This Row],[Cantidad 21]],0)</f>
        <v>0</v>
      </c>
      <c r="BU20" s="1">
        <f>IFERROR(VLOOKUP(Tabla5[[#This Row],[Producto 22]],Tabla3[[Nombre]:[Ud]],5,FALSE)*Tabla5[[#This Row],[Cantidad 22]],0)</f>
        <v>0</v>
      </c>
      <c r="BX20" s="1">
        <f>IFERROR(VLOOKUP(Tabla5[[#This Row],[Producto 23]],Tabla3[[Nombre]:[Ud]],5,FALSE)*Tabla5[[#This Row],[Cantidad 23]],0)</f>
        <v>0</v>
      </c>
      <c r="CA20" s="1">
        <f>IFERROR(VLOOKUP(Tabla5[[#This Row],[Producto 24]],Tabla3[[Nombre]:[Ud]],5,FALSE)*Tabla5[[#This Row],[Cantidad 24]],0)</f>
        <v>0</v>
      </c>
      <c r="CD20" s="1">
        <f>IFERROR(VLOOKUP(Tabla5[[#This Row],[Producto 25]],Tabla3[[Nombre]:[Ud]],5,FALSE)*Tabla5[[#This Row],[Cantidad 25]],0)</f>
        <v>0</v>
      </c>
      <c r="CG20" s="1">
        <f>IFERROR(VLOOKUP(Tabla5[[#This Row],[Producto 26]],Tabla3[[Nombre]:[Ud]],5,FALSE)*Tabla5[[#This Row],[Cantidad 26]],0)</f>
        <v>0</v>
      </c>
      <c r="CJ20" s="1">
        <f>IFERROR(VLOOKUP(Tabla5[[#This Row],[Producto 27]],Tabla3[[Nombre]:[Ud]],5,FALSE)*Tabla5[[#This Row],[Cantidad 27]],0)</f>
        <v>0</v>
      </c>
      <c r="CM20" s="1">
        <f>IFERROR(VLOOKUP(Tabla5[[#This Row],[Producto 28]],Tabla3[[Nombre]:[Ud]],5,FALSE)*Tabla5[[#This Row],[Cantidad 28]],0)</f>
        <v>0</v>
      </c>
      <c r="CP20" s="1">
        <f>IFERROR(VLOOKUP(Tabla5[[#This Row],[Producto 29]],Tabla3[[Nombre]:[Ud]],5,FALSE)*Tabla5[[#This Row],[Cantidad 29]],0)</f>
        <v>0</v>
      </c>
      <c r="CS20" s="1">
        <f>IFERROR(VLOOKUP(Tabla5[[#This Row],[Producto 30]],Tabla3[[Nombre]:[Ud]],5,FALSE)*Tabla5[[#This Row],[Cantidad 30]],0)</f>
        <v>0</v>
      </c>
    </row>
    <row r="21" spans="1:97" x14ac:dyDescent="0.35">
      <c r="A21">
        <v>19</v>
      </c>
      <c r="D21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21" s="1">
        <f>Tabla5[[#This Row],[Minutos]]*Tabla13[[#Totals],[Precio Unitario]]</f>
        <v>0</v>
      </c>
      <c r="G21" s="1">
        <f>IFERROR(VLOOKUP(Tabla5[[#This Row],[Persona]],Tabla1[[Nombre]:[Ud]],7,FALSE) *Tabla5[[#This Row],[Minutos]],0)</f>
        <v>0</v>
      </c>
      <c r="J21" s="1">
        <f>IFERROR(VLOOKUP(Tabla5[[#This Row],[Producto 1]],Tabla3[[Nombre]:[Ud]],5,FALSE)*Tabla5[[#This Row],[Cantidad 1]],0)</f>
        <v>0</v>
      </c>
      <c r="M21" s="1">
        <f>IFERROR(VLOOKUP(Tabla5[[#This Row],[Producto 2]],Tabla3[[Nombre]:[Ud]],5,FALSE)*Tabla5[[#This Row],[Cantidad 2]],0)</f>
        <v>0</v>
      </c>
      <c r="P21" s="1">
        <f>IFERROR(VLOOKUP(Tabla5[[#This Row],[Producto 3]],Tabla3[[Nombre]:[Ud]],5,FALSE)*Tabla5[[#This Row],[Cantidad 3]],0)</f>
        <v>0</v>
      </c>
      <c r="S21" s="1">
        <f>IFERROR(VLOOKUP(Tabla5[[#This Row],[Producto 4]],Tabla3[[Nombre]:[Ud]],5,FALSE)*Tabla5[[#This Row],[Cantidad 4]],0)</f>
        <v>0</v>
      </c>
      <c r="V21" s="1">
        <f>IFERROR(VLOOKUP(Tabla5[[#This Row],[Producto 5]],Tabla3[[Nombre]:[Ud]],5,FALSE)*Tabla5[[#This Row],[Cantidad 5]],0)</f>
        <v>0</v>
      </c>
      <c r="Y21" s="1">
        <f>IFERROR(VLOOKUP(Tabla5[[#This Row],[Producto 6]],Tabla3[[Nombre]:[Ud]],5,FALSE)*Tabla5[[#This Row],[Cantidad 6]],0)</f>
        <v>0</v>
      </c>
      <c r="AB21" s="1">
        <f>IFERROR(VLOOKUP(Tabla5[[#This Row],[Producto 7]],Tabla3[[Nombre]:[Ud]],5,FALSE)*Tabla5[[#This Row],[Cantidad 7]],0)</f>
        <v>0</v>
      </c>
      <c r="AE21" s="1">
        <f>IFERROR(VLOOKUP(Tabla5[[#This Row],[Producto 8]],Tabla3[[Nombre]:[Ud]],5,FALSE)*Tabla5[[#This Row],[Cantidad 8]],0)</f>
        <v>0</v>
      </c>
      <c r="AH21" s="1">
        <f>IFERROR(VLOOKUP(Tabla5[[#This Row],[Producto 9]],Tabla3[[Nombre]:[Ud]],5,FALSE)*Tabla5[[#This Row],[Cantidad 9]],0)</f>
        <v>0</v>
      </c>
      <c r="AK21" s="1">
        <f>IFERROR(VLOOKUP(Tabla5[[#This Row],[Producto 10]],Tabla3[[Nombre]:[Ud]],5,FALSE)*Tabla5[[#This Row],[Cantidad 10]],0)</f>
        <v>0</v>
      </c>
      <c r="AN21" s="1">
        <f>IFERROR(VLOOKUP(Tabla5[[#This Row],[Producto 11]],Tabla3[[Nombre]:[Ud]],5,FALSE)*Tabla5[[#This Row],[Cantidad 11]],0)</f>
        <v>0</v>
      </c>
      <c r="AQ21" s="1">
        <f>IFERROR(VLOOKUP(Tabla5[[#This Row],[Producto 12]],Tabla3[[Nombre]:[Ud]],5,FALSE)*Tabla5[[#This Row],[Cantidad 12]],0)</f>
        <v>0</v>
      </c>
      <c r="AT21" s="1">
        <f>IFERROR(VLOOKUP(Tabla5[[#This Row],[Producto 13]],Tabla3[[Nombre]:[Ud]],5,FALSE)*Tabla5[[#This Row],[Cantidad 13]],0)</f>
        <v>0</v>
      </c>
      <c r="AW21" s="1">
        <f>IFERROR(VLOOKUP(Tabla5[[#This Row],[Producto 14]],Tabla3[[Nombre]:[Ud]],5,FALSE)*Tabla5[[#This Row],[Cantidad 14]],0)</f>
        <v>0</v>
      </c>
      <c r="AZ21" s="1">
        <f>IFERROR(VLOOKUP(Tabla5[[#This Row],[Producto 15]],Tabla3[[Nombre]:[Ud]],5,FALSE)*Tabla5[[#This Row],[Cantidad 15]],0)</f>
        <v>0</v>
      </c>
      <c r="BC21" s="1">
        <f>IFERROR(VLOOKUP(Tabla5[[#This Row],[Producto 16]],Tabla3[[Nombre]:[Ud]],5,FALSE)*Tabla5[[#This Row],[Cantidad 16]],0)</f>
        <v>0</v>
      </c>
      <c r="BF21" s="1">
        <f>IFERROR(VLOOKUP(Tabla5[[#This Row],[Producto 17]],Tabla3[[Nombre]:[Ud]],5,FALSE)*Tabla5[[#This Row],[Cantidad 17]],0)</f>
        <v>0</v>
      </c>
      <c r="BI21" s="1">
        <f>IFERROR(VLOOKUP(Tabla5[[#This Row],[Producto 18]],Tabla3[[Nombre]:[Ud]],5,FALSE)*Tabla5[[#This Row],[Cantidad 18]],0)</f>
        <v>0</v>
      </c>
      <c r="BL21" s="1">
        <f>IFERROR(VLOOKUP(Tabla5[[#This Row],[Producto 19]],Tabla3[[Nombre]:[Ud]],5,FALSE)*Tabla5[[#This Row],[Cantidad 19]],0)</f>
        <v>0</v>
      </c>
      <c r="BO21" s="1">
        <f>IFERROR(VLOOKUP(Tabla5[[#This Row],[Producto 20]],Tabla3[[Nombre]:[Ud]],5,FALSE)*Tabla5[[#This Row],[Cantidad 20]],0)</f>
        <v>0</v>
      </c>
      <c r="BR21" s="1">
        <f>IFERROR(VLOOKUP(Tabla5[[#This Row],[Producto 21]],Tabla3[[Nombre]:[Ud]],5,FALSE)*Tabla5[[#This Row],[Cantidad 21]],0)</f>
        <v>0</v>
      </c>
      <c r="BU21" s="1">
        <f>IFERROR(VLOOKUP(Tabla5[[#This Row],[Producto 22]],Tabla3[[Nombre]:[Ud]],5,FALSE)*Tabla5[[#This Row],[Cantidad 22]],0)</f>
        <v>0</v>
      </c>
      <c r="BX21" s="1">
        <f>IFERROR(VLOOKUP(Tabla5[[#This Row],[Producto 23]],Tabla3[[Nombre]:[Ud]],5,FALSE)*Tabla5[[#This Row],[Cantidad 23]],0)</f>
        <v>0</v>
      </c>
      <c r="CA21" s="1">
        <f>IFERROR(VLOOKUP(Tabla5[[#This Row],[Producto 24]],Tabla3[[Nombre]:[Ud]],5,FALSE)*Tabla5[[#This Row],[Cantidad 24]],0)</f>
        <v>0</v>
      </c>
      <c r="CD21" s="1">
        <f>IFERROR(VLOOKUP(Tabla5[[#This Row],[Producto 25]],Tabla3[[Nombre]:[Ud]],5,FALSE)*Tabla5[[#This Row],[Cantidad 25]],0)</f>
        <v>0</v>
      </c>
      <c r="CG21" s="1">
        <f>IFERROR(VLOOKUP(Tabla5[[#This Row],[Producto 26]],Tabla3[[Nombre]:[Ud]],5,FALSE)*Tabla5[[#This Row],[Cantidad 26]],0)</f>
        <v>0</v>
      </c>
      <c r="CJ21" s="1">
        <f>IFERROR(VLOOKUP(Tabla5[[#This Row],[Producto 27]],Tabla3[[Nombre]:[Ud]],5,FALSE)*Tabla5[[#This Row],[Cantidad 27]],0)</f>
        <v>0</v>
      </c>
      <c r="CM21" s="1">
        <f>IFERROR(VLOOKUP(Tabla5[[#This Row],[Producto 28]],Tabla3[[Nombre]:[Ud]],5,FALSE)*Tabla5[[#This Row],[Cantidad 28]],0)</f>
        <v>0</v>
      </c>
      <c r="CP21" s="1">
        <f>IFERROR(VLOOKUP(Tabla5[[#This Row],[Producto 29]],Tabla3[[Nombre]:[Ud]],5,FALSE)*Tabla5[[#This Row],[Cantidad 29]],0)</f>
        <v>0</v>
      </c>
      <c r="CS21" s="1">
        <f>IFERROR(VLOOKUP(Tabla5[[#This Row],[Producto 30]],Tabla3[[Nombre]:[Ud]],5,FALSE)*Tabla5[[#This Row],[Cantidad 30]],0)</f>
        <v>0</v>
      </c>
    </row>
    <row r="22" spans="1:97" x14ac:dyDescent="0.35">
      <c r="A22">
        <v>20</v>
      </c>
      <c r="D22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22" s="1">
        <f>Tabla5[[#This Row],[Minutos]]*Tabla13[[#Totals],[Precio Unitario]]</f>
        <v>0</v>
      </c>
      <c r="G22" s="1">
        <f>IFERROR(VLOOKUP(Tabla5[[#This Row],[Persona]],Tabla1[[Nombre]:[Ud]],7,FALSE) *Tabla5[[#This Row],[Minutos]],0)</f>
        <v>0</v>
      </c>
      <c r="J22" s="1">
        <f>IFERROR(VLOOKUP(Tabla5[[#This Row],[Producto 1]],Tabla3[[Nombre]:[Ud]],5,FALSE)*Tabla5[[#This Row],[Cantidad 1]],0)</f>
        <v>0</v>
      </c>
      <c r="M22" s="1">
        <f>IFERROR(VLOOKUP(Tabla5[[#This Row],[Producto 2]],Tabla3[[Nombre]:[Ud]],5,FALSE)*Tabla5[[#This Row],[Cantidad 2]],0)</f>
        <v>0</v>
      </c>
      <c r="P22" s="1">
        <f>IFERROR(VLOOKUP(Tabla5[[#This Row],[Producto 3]],Tabla3[[Nombre]:[Ud]],5,FALSE)*Tabla5[[#This Row],[Cantidad 3]],0)</f>
        <v>0</v>
      </c>
      <c r="S22" s="1">
        <f>IFERROR(VLOOKUP(Tabla5[[#This Row],[Producto 4]],Tabla3[[Nombre]:[Ud]],5,FALSE)*Tabla5[[#This Row],[Cantidad 4]],0)</f>
        <v>0</v>
      </c>
      <c r="V22" s="1">
        <f>IFERROR(VLOOKUP(Tabla5[[#This Row],[Producto 5]],Tabla3[[Nombre]:[Ud]],5,FALSE)*Tabla5[[#This Row],[Cantidad 5]],0)</f>
        <v>0</v>
      </c>
      <c r="Y22" s="1">
        <f>IFERROR(VLOOKUP(Tabla5[[#This Row],[Producto 6]],Tabla3[[Nombre]:[Ud]],5,FALSE)*Tabla5[[#This Row],[Cantidad 6]],0)</f>
        <v>0</v>
      </c>
      <c r="AB22" s="1">
        <f>IFERROR(VLOOKUP(Tabla5[[#This Row],[Producto 7]],Tabla3[[Nombre]:[Ud]],5,FALSE)*Tabla5[[#This Row],[Cantidad 7]],0)</f>
        <v>0</v>
      </c>
      <c r="AE22" s="1">
        <f>IFERROR(VLOOKUP(Tabla5[[#This Row],[Producto 8]],Tabla3[[Nombre]:[Ud]],5,FALSE)*Tabla5[[#This Row],[Cantidad 8]],0)</f>
        <v>0</v>
      </c>
      <c r="AH22" s="1">
        <f>IFERROR(VLOOKUP(Tabla5[[#This Row],[Producto 9]],Tabla3[[Nombre]:[Ud]],5,FALSE)*Tabla5[[#This Row],[Cantidad 9]],0)</f>
        <v>0</v>
      </c>
      <c r="AK22" s="1">
        <f>IFERROR(VLOOKUP(Tabla5[[#This Row],[Producto 10]],Tabla3[[Nombre]:[Ud]],5,FALSE)*Tabla5[[#This Row],[Cantidad 10]],0)</f>
        <v>0</v>
      </c>
      <c r="AN22" s="1">
        <f>IFERROR(VLOOKUP(Tabla5[[#This Row],[Producto 11]],Tabla3[[Nombre]:[Ud]],5,FALSE)*Tabla5[[#This Row],[Cantidad 11]],0)</f>
        <v>0</v>
      </c>
      <c r="AQ22" s="1">
        <f>IFERROR(VLOOKUP(Tabla5[[#This Row],[Producto 12]],Tabla3[[Nombre]:[Ud]],5,FALSE)*Tabla5[[#This Row],[Cantidad 12]],0)</f>
        <v>0</v>
      </c>
      <c r="AT22" s="1">
        <f>IFERROR(VLOOKUP(Tabla5[[#This Row],[Producto 13]],Tabla3[[Nombre]:[Ud]],5,FALSE)*Tabla5[[#This Row],[Cantidad 13]],0)</f>
        <v>0</v>
      </c>
      <c r="AW22" s="1">
        <f>IFERROR(VLOOKUP(Tabla5[[#This Row],[Producto 14]],Tabla3[[Nombre]:[Ud]],5,FALSE)*Tabla5[[#This Row],[Cantidad 14]],0)</f>
        <v>0</v>
      </c>
      <c r="AZ22" s="1">
        <f>IFERROR(VLOOKUP(Tabla5[[#This Row],[Producto 15]],Tabla3[[Nombre]:[Ud]],5,FALSE)*Tabla5[[#This Row],[Cantidad 15]],0)</f>
        <v>0</v>
      </c>
      <c r="BC22" s="1">
        <f>IFERROR(VLOOKUP(Tabla5[[#This Row],[Producto 16]],Tabla3[[Nombre]:[Ud]],5,FALSE)*Tabla5[[#This Row],[Cantidad 16]],0)</f>
        <v>0</v>
      </c>
      <c r="BF22" s="1">
        <f>IFERROR(VLOOKUP(Tabla5[[#This Row],[Producto 17]],Tabla3[[Nombre]:[Ud]],5,FALSE)*Tabla5[[#This Row],[Cantidad 17]],0)</f>
        <v>0</v>
      </c>
      <c r="BI22" s="1">
        <f>IFERROR(VLOOKUP(Tabla5[[#This Row],[Producto 18]],Tabla3[[Nombre]:[Ud]],5,FALSE)*Tabla5[[#This Row],[Cantidad 18]],0)</f>
        <v>0</v>
      </c>
      <c r="BL22" s="1">
        <f>IFERROR(VLOOKUP(Tabla5[[#This Row],[Producto 19]],Tabla3[[Nombre]:[Ud]],5,FALSE)*Tabla5[[#This Row],[Cantidad 19]],0)</f>
        <v>0</v>
      </c>
      <c r="BO22" s="1">
        <f>IFERROR(VLOOKUP(Tabla5[[#This Row],[Producto 20]],Tabla3[[Nombre]:[Ud]],5,FALSE)*Tabla5[[#This Row],[Cantidad 20]],0)</f>
        <v>0</v>
      </c>
      <c r="BR22" s="1">
        <f>IFERROR(VLOOKUP(Tabla5[[#This Row],[Producto 21]],Tabla3[[Nombre]:[Ud]],5,FALSE)*Tabla5[[#This Row],[Cantidad 21]],0)</f>
        <v>0</v>
      </c>
      <c r="BU22" s="1">
        <f>IFERROR(VLOOKUP(Tabla5[[#This Row],[Producto 22]],Tabla3[[Nombre]:[Ud]],5,FALSE)*Tabla5[[#This Row],[Cantidad 22]],0)</f>
        <v>0</v>
      </c>
      <c r="BX22" s="1">
        <f>IFERROR(VLOOKUP(Tabla5[[#This Row],[Producto 23]],Tabla3[[Nombre]:[Ud]],5,FALSE)*Tabla5[[#This Row],[Cantidad 23]],0)</f>
        <v>0</v>
      </c>
      <c r="CA22" s="1">
        <f>IFERROR(VLOOKUP(Tabla5[[#This Row],[Producto 24]],Tabla3[[Nombre]:[Ud]],5,FALSE)*Tabla5[[#This Row],[Cantidad 24]],0)</f>
        <v>0</v>
      </c>
      <c r="CD22" s="1">
        <f>IFERROR(VLOOKUP(Tabla5[[#This Row],[Producto 25]],Tabla3[[Nombre]:[Ud]],5,FALSE)*Tabla5[[#This Row],[Cantidad 25]],0)</f>
        <v>0</v>
      </c>
      <c r="CG22" s="1">
        <f>IFERROR(VLOOKUP(Tabla5[[#This Row],[Producto 26]],Tabla3[[Nombre]:[Ud]],5,FALSE)*Tabla5[[#This Row],[Cantidad 26]],0)</f>
        <v>0</v>
      </c>
      <c r="CJ22" s="1">
        <f>IFERROR(VLOOKUP(Tabla5[[#This Row],[Producto 27]],Tabla3[[Nombre]:[Ud]],5,FALSE)*Tabla5[[#This Row],[Cantidad 27]],0)</f>
        <v>0</v>
      </c>
      <c r="CM22" s="1">
        <f>IFERROR(VLOOKUP(Tabla5[[#This Row],[Producto 28]],Tabla3[[Nombre]:[Ud]],5,FALSE)*Tabla5[[#This Row],[Cantidad 28]],0)</f>
        <v>0</v>
      </c>
      <c r="CP22" s="1">
        <f>IFERROR(VLOOKUP(Tabla5[[#This Row],[Producto 29]],Tabla3[[Nombre]:[Ud]],5,FALSE)*Tabla5[[#This Row],[Cantidad 29]],0)</f>
        <v>0</v>
      </c>
      <c r="CS22" s="1">
        <f>IFERROR(VLOOKUP(Tabla5[[#This Row],[Producto 30]],Tabla3[[Nombre]:[Ud]],5,FALSE)*Tabla5[[#This Row],[Cantidad 30]],0)</f>
        <v>0</v>
      </c>
    </row>
    <row r="23" spans="1:97" x14ac:dyDescent="0.35">
      <c r="A23">
        <v>21</v>
      </c>
      <c r="D23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23" s="1">
        <f>Tabla5[[#This Row],[Minutos]]*Tabla13[[#Totals],[Precio Unitario]]</f>
        <v>0</v>
      </c>
      <c r="G23" s="1">
        <f>IFERROR(VLOOKUP(Tabla5[[#This Row],[Persona]],Tabla1[[Nombre]:[Ud]],7,FALSE) *Tabla5[[#This Row],[Minutos]],0)</f>
        <v>0</v>
      </c>
      <c r="J23" s="1">
        <f>IFERROR(VLOOKUP(Tabla5[[#This Row],[Producto 1]],Tabla3[[Nombre]:[Ud]],5,FALSE)*Tabla5[[#This Row],[Cantidad 1]],0)</f>
        <v>0</v>
      </c>
      <c r="M23" s="1">
        <f>IFERROR(VLOOKUP(Tabla5[[#This Row],[Producto 2]],Tabla3[[Nombre]:[Ud]],5,FALSE)*Tabla5[[#This Row],[Cantidad 2]],0)</f>
        <v>0</v>
      </c>
      <c r="P23" s="1">
        <f>IFERROR(VLOOKUP(Tabla5[[#This Row],[Producto 3]],Tabla3[[Nombre]:[Ud]],5,FALSE)*Tabla5[[#This Row],[Cantidad 3]],0)</f>
        <v>0</v>
      </c>
      <c r="S23" s="1">
        <f>IFERROR(VLOOKUP(Tabla5[[#This Row],[Producto 4]],Tabla3[[Nombre]:[Ud]],5,FALSE)*Tabla5[[#This Row],[Cantidad 4]],0)</f>
        <v>0</v>
      </c>
      <c r="V23" s="1">
        <f>IFERROR(VLOOKUP(Tabla5[[#This Row],[Producto 5]],Tabla3[[Nombre]:[Ud]],5,FALSE)*Tabla5[[#This Row],[Cantidad 5]],0)</f>
        <v>0</v>
      </c>
      <c r="Y23" s="1">
        <f>IFERROR(VLOOKUP(Tabla5[[#This Row],[Producto 6]],Tabla3[[Nombre]:[Ud]],5,FALSE)*Tabla5[[#This Row],[Cantidad 6]],0)</f>
        <v>0</v>
      </c>
      <c r="AB23" s="1">
        <f>IFERROR(VLOOKUP(Tabla5[[#This Row],[Producto 7]],Tabla3[[Nombre]:[Ud]],5,FALSE)*Tabla5[[#This Row],[Cantidad 7]],0)</f>
        <v>0</v>
      </c>
      <c r="AE23" s="1">
        <f>IFERROR(VLOOKUP(Tabla5[[#This Row],[Producto 8]],Tabla3[[Nombre]:[Ud]],5,FALSE)*Tabla5[[#This Row],[Cantidad 8]],0)</f>
        <v>0</v>
      </c>
      <c r="AH23" s="1">
        <f>IFERROR(VLOOKUP(Tabla5[[#This Row],[Producto 9]],Tabla3[[Nombre]:[Ud]],5,FALSE)*Tabla5[[#This Row],[Cantidad 9]],0)</f>
        <v>0</v>
      </c>
      <c r="AK23" s="1">
        <f>IFERROR(VLOOKUP(Tabla5[[#This Row],[Producto 10]],Tabla3[[Nombre]:[Ud]],5,FALSE)*Tabla5[[#This Row],[Cantidad 10]],0)</f>
        <v>0</v>
      </c>
      <c r="AN23" s="1">
        <f>IFERROR(VLOOKUP(Tabla5[[#This Row],[Producto 11]],Tabla3[[Nombre]:[Ud]],5,FALSE)*Tabla5[[#This Row],[Cantidad 11]],0)</f>
        <v>0</v>
      </c>
      <c r="AQ23" s="1">
        <f>IFERROR(VLOOKUP(Tabla5[[#This Row],[Producto 12]],Tabla3[[Nombre]:[Ud]],5,FALSE)*Tabla5[[#This Row],[Cantidad 12]],0)</f>
        <v>0</v>
      </c>
      <c r="AT23" s="1">
        <f>IFERROR(VLOOKUP(Tabla5[[#This Row],[Producto 13]],Tabla3[[Nombre]:[Ud]],5,FALSE)*Tabla5[[#This Row],[Cantidad 13]],0)</f>
        <v>0</v>
      </c>
      <c r="AW23" s="1">
        <f>IFERROR(VLOOKUP(Tabla5[[#This Row],[Producto 14]],Tabla3[[Nombre]:[Ud]],5,FALSE)*Tabla5[[#This Row],[Cantidad 14]],0)</f>
        <v>0</v>
      </c>
      <c r="AZ23" s="1">
        <f>IFERROR(VLOOKUP(Tabla5[[#This Row],[Producto 15]],Tabla3[[Nombre]:[Ud]],5,FALSE)*Tabla5[[#This Row],[Cantidad 15]],0)</f>
        <v>0</v>
      </c>
      <c r="BC23" s="1">
        <f>IFERROR(VLOOKUP(Tabla5[[#This Row],[Producto 16]],Tabla3[[Nombre]:[Ud]],5,FALSE)*Tabla5[[#This Row],[Cantidad 16]],0)</f>
        <v>0</v>
      </c>
      <c r="BF23" s="1">
        <f>IFERROR(VLOOKUP(Tabla5[[#This Row],[Producto 17]],Tabla3[[Nombre]:[Ud]],5,FALSE)*Tabla5[[#This Row],[Cantidad 17]],0)</f>
        <v>0</v>
      </c>
      <c r="BI23" s="1">
        <f>IFERROR(VLOOKUP(Tabla5[[#This Row],[Producto 18]],Tabla3[[Nombre]:[Ud]],5,FALSE)*Tabla5[[#This Row],[Cantidad 18]],0)</f>
        <v>0</v>
      </c>
      <c r="BL23" s="1">
        <f>IFERROR(VLOOKUP(Tabla5[[#This Row],[Producto 19]],Tabla3[[Nombre]:[Ud]],5,FALSE)*Tabla5[[#This Row],[Cantidad 19]],0)</f>
        <v>0</v>
      </c>
      <c r="BO23" s="1">
        <f>IFERROR(VLOOKUP(Tabla5[[#This Row],[Producto 20]],Tabla3[[Nombre]:[Ud]],5,FALSE)*Tabla5[[#This Row],[Cantidad 20]],0)</f>
        <v>0</v>
      </c>
      <c r="BR23" s="1">
        <f>IFERROR(VLOOKUP(Tabla5[[#This Row],[Producto 21]],Tabla3[[Nombre]:[Ud]],5,FALSE)*Tabla5[[#This Row],[Cantidad 21]],0)</f>
        <v>0</v>
      </c>
      <c r="BU23" s="1">
        <f>IFERROR(VLOOKUP(Tabla5[[#This Row],[Producto 22]],Tabla3[[Nombre]:[Ud]],5,FALSE)*Tabla5[[#This Row],[Cantidad 22]],0)</f>
        <v>0</v>
      </c>
      <c r="BX23" s="1">
        <f>IFERROR(VLOOKUP(Tabla5[[#This Row],[Producto 23]],Tabla3[[Nombre]:[Ud]],5,FALSE)*Tabla5[[#This Row],[Cantidad 23]],0)</f>
        <v>0</v>
      </c>
      <c r="CA23" s="1">
        <f>IFERROR(VLOOKUP(Tabla5[[#This Row],[Producto 24]],Tabla3[[Nombre]:[Ud]],5,FALSE)*Tabla5[[#This Row],[Cantidad 24]],0)</f>
        <v>0</v>
      </c>
      <c r="CD23" s="1">
        <f>IFERROR(VLOOKUP(Tabla5[[#This Row],[Producto 25]],Tabla3[[Nombre]:[Ud]],5,FALSE)*Tabla5[[#This Row],[Cantidad 25]],0)</f>
        <v>0</v>
      </c>
      <c r="CG23" s="1">
        <f>IFERROR(VLOOKUP(Tabla5[[#This Row],[Producto 26]],Tabla3[[Nombre]:[Ud]],5,FALSE)*Tabla5[[#This Row],[Cantidad 26]],0)</f>
        <v>0</v>
      </c>
      <c r="CJ23" s="1">
        <f>IFERROR(VLOOKUP(Tabla5[[#This Row],[Producto 27]],Tabla3[[Nombre]:[Ud]],5,FALSE)*Tabla5[[#This Row],[Cantidad 27]],0)</f>
        <v>0</v>
      </c>
      <c r="CM23" s="1">
        <f>IFERROR(VLOOKUP(Tabla5[[#This Row],[Producto 28]],Tabla3[[Nombre]:[Ud]],5,FALSE)*Tabla5[[#This Row],[Cantidad 28]],0)</f>
        <v>0</v>
      </c>
      <c r="CP23" s="1">
        <f>IFERROR(VLOOKUP(Tabla5[[#This Row],[Producto 29]],Tabla3[[Nombre]:[Ud]],5,FALSE)*Tabla5[[#This Row],[Cantidad 29]],0)</f>
        <v>0</v>
      </c>
      <c r="CS23" s="1">
        <f>IFERROR(VLOOKUP(Tabla5[[#This Row],[Producto 30]],Tabla3[[Nombre]:[Ud]],5,FALSE)*Tabla5[[#This Row],[Cantidad 30]],0)</f>
        <v>0</v>
      </c>
    </row>
    <row r="24" spans="1:97" x14ac:dyDescent="0.35">
      <c r="A24">
        <v>22</v>
      </c>
      <c r="D24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24" s="1">
        <f>Tabla5[[#This Row],[Minutos]]*Tabla13[[#Totals],[Precio Unitario]]</f>
        <v>0</v>
      </c>
      <c r="G24" s="1">
        <f>IFERROR(VLOOKUP(Tabla5[[#This Row],[Persona]],Tabla1[[Nombre]:[Ud]],7,FALSE) *Tabla5[[#This Row],[Minutos]],0)</f>
        <v>0</v>
      </c>
      <c r="J24" s="1">
        <f>IFERROR(VLOOKUP(Tabla5[[#This Row],[Producto 1]],Tabla3[[Nombre]:[Ud]],5,FALSE)*Tabla5[[#This Row],[Cantidad 1]],0)</f>
        <v>0</v>
      </c>
      <c r="M24" s="1">
        <f>IFERROR(VLOOKUP(Tabla5[[#This Row],[Producto 2]],Tabla3[[Nombre]:[Ud]],5,FALSE)*Tabla5[[#This Row],[Cantidad 2]],0)</f>
        <v>0</v>
      </c>
      <c r="P24" s="1">
        <f>IFERROR(VLOOKUP(Tabla5[[#This Row],[Producto 3]],Tabla3[[Nombre]:[Ud]],5,FALSE)*Tabla5[[#This Row],[Cantidad 3]],0)</f>
        <v>0</v>
      </c>
      <c r="S24" s="1">
        <f>IFERROR(VLOOKUP(Tabla5[[#This Row],[Producto 4]],Tabla3[[Nombre]:[Ud]],5,FALSE)*Tabla5[[#This Row],[Cantidad 4]],0)</f>
        <v>0</v>
      </c>
      <c r="V24" s="1">
        <f>IFERROR(VLOOKUP(Tabla5[[#This Row],[Producto 5]],Tabla3[[Nombre]:[Ud]],5,FALSE)*Tabla5[[#This Row],[Cantidad 5]],0)</f>
        <v>0</v>
      </c>
      <c r="Y24" s="1">
        <f>IFERROR(VLOOKUP(Tabla5[[#This Row],[Producto 6]],Tabla3[[Nombre]:[Ud]],5,FALSE)*Tabla5[[#This Row],[Cantidad 6]],0)</f>
        <v>0</v>
      </c>
      <c r="AB24" s="1">
        <f>IFERROR(VLOOKUP(Tabla5[[#This Row],[Producto 7]],Tabla3[[Nombre]:[Ud]],5,FALSE)*Tabla5[[#This Row],[Cantidad 7]],0)</f>
        <v>0</v>
      </c>
      <c r="AE24" s="1">
        <f>IFERROR(VLOOKUP(Tabla5[[#This Row],[Producto 8]],Tabla3[[Nombre]:[Ud]],5,FALSE)*Tabla5[[#This Row],[Cantidad 8]],0)</f>
        <v>0</v>
      </c>
      <c r="AH24" s="1">
        <f>IFERROR(VLOOKUP(Tabla5[[#This Row],[Producto 9]],Tabla3[[Nombre]:[Ud]],5,FALSE)*Tabla5[[#This Row],[Cantidad 9]],0)</f>
        <v>0</v>
      </c>
      <c r="AK24" s="1">
        <f>IFERROR(VLOOKUP(Tabla5[[#This Row],[Producto 10]],Tabla3[[Nombre]:[Ud]],5,FALSE)*Tabla5[[#This Row],[Cantidad 10]],0)</f>
        <v>0</v>
      </c>
      <c r="AN24" s="1">
        <f>IFERROR(VLOOKUP(Tabla5[[#This Row],[Producto 11]],Tabla3[[Nombre]:[Ud]],5,FALSE)*Tabla5[[#This Row],[Cantidad 11]],0)</f>
        <v>0</v>
      </c>
      <c r="AQ24" s="1">
        <f>IFERROR(VLOOKUP(Tabla5[[#This Row],[Producto 12]],Tabla3[[Nombre]:[Ud]],5,FALSE)*Tabla5[[#This Row],[Cantidad 12]],0)</f>
        <v>0</v>
      </c>
      <c r="AT24" s="1">
        <f>IFERROR(VLOOKUP(Tabla5[[#This Row],[Producto 13]],Tabla3[[Nombre]:[Ud]],5,FALSE)*Tabla5[[#This Row],[Cantidad 13]],0)</f>
        <v>0</v>
      </c>
      <c r="AW24" s="1">
        <f>IFERROR(VLOOKUP(Tabla5[[#This Row],[Producto 14]],Tabla3[[Nombre]:[Ud]],5,FALSE)*Tabla5[[#This Row],[Cantidad 14]],0)</f>
        <v>0</v>
      </c>
      <c r="AZ24" s="1">
        <f>IFERROR(VLOOKUP(Tabla5[[#This Row],[Producto 15]],Tabla3[[Nombre]:[Ud]],5,FALSE)*Tabla5[[#This Row],[Cantidad 15]],0)</f>
        <v>0</v>
      </c>
      <c r="BC24" s="1">
        <f>IFERROR(VLOOKUP(Tabla5[[#This Row],[Producto 16]],Tabla3[[Nombre]:[Ud]],5,FALSE)*Tabla5[[#This Row],[Cantidad 16]],0)</f>
        <v>0</v>
      </c>
      <c r="BF24" s="1">
        <f>IFERROR(VLOOKUP(Tabla5[[#This Row],[Producto 17]],Tabla3[[Nombre]:[Ud]],5,FALSE)*Tabla5[[#This Row],[Cantidad 17]],0)</f>
        <v>0</v>
      </c>
      <c r="BI24" s="1">
        <f>IFERROR(VLOOKUP(Tabla5[[#This Row],[Producto 18]],Tabla3[[Nombre]:[Ud]],5,FALSE)*Tabla5[[#This Row],[Cantidad 18]],0)</f>
        <v>0</v>
      </c>
      <c r="BL24" s="1">
        <f>IFERROR(VLOOKUP(Tabla5[[#This Row],[Producto 19]],Tabla3[[Nombre]:[Ud]],5,FALSE)*Tabla5[[#This Row],[Cantidad 19]],0)</f>
        <v>0</v>
      </c>
      <c r="BO24" s="1">
        <f>IFERROR(VLOOKUP(Tabla5[[#This Row],[Producto 20]],Tabla3[[Nombre]:[Ud]],5,FALSE)*Tabla5[[#This Row],[Cantidad 20]],0)</f>
        <v>0</v>
      </c>
      <c r="BR24" s="1">
        <f>IFERROR(VLOOKUP(Tabla5[[#This Row],[Producto 21]],Tabla3[[Nombre]:[Ud]],5,FALSE)*Tabla5[[#This Row],[Cantidad 21]],0)</f>
        <v>0</v>
      </c>
      <c r="BU24" s="1">
        <f>IFERROR(VLOOKUP(Tabla5[[#This Row],[Producto 22]],Tabla3[[Nombre]:[Ud]],5,FALSE)*Tabla5[[#This Row],[Cantidad 22]],0)</f>
        <v>0</v>
      </c>
      <c r="BX24" s="1">
        <f>IFERROR(VLOOKUP(Tabla5[[#This Row],[Producto 23]],Tabla3[[Nombre]:[Ud]],5,FALSE)*Tabla5[[#This Row],[Cantidad 23]],0)</f>
        <v>0</v>
      </c>
      <c r="CA24" s="1">
        <f>IFERROR(VLOOKUP(Tabla5[[#This Row],[Producto 24]],Tabla3[[Nombre]:[Ud]],5,FALSE)*Tabla5[[#This Row],[Cantidad 24]],0)</f>
        <v>0</v>
      </c>
      <c r="CD24" s="1">
        <f>IFERROR(VLOOKUP(Tabla5[[#This Row],[Producto 25]],Tabla3[[Nombre]:[Ud]],5,FALSE)*Tabla5[[#This Row],[Cantidad 25]],0)</f>
        <v>0</v>
      </c>
      <c r="CG24" s="1">
        <f>IFERROR(VLOOKUP(Tabla5[[#This Row],[Producto 26]],Tabla3[[Nombre]:[Ud]],5,FALSE)*Tabla5[[#This Row],[Cantidad 26]],0)</f>
        <v>0</v>
      </c>
      <c r="CJ24" s="1">
        <f>IFERROR(VLOOKUP(Tabla5[[#This Row],[Producto 27]],Tabla3[[Nombre]:[Ud]],5,FALSE)*Tabla5[[#This Row],[Cantidad 27]],0)</f>
        <v>0</v>
      </c>
      <c r="CM24" s="1">
        <f>IFERROR(VLOOKUP(Tabla5[[#This Row],[Producto 28]],Tabla3[[Nombre]:[Ud]],5,FALSE)*Tabla5[[#This Row],[Cantidad 28]],0)</f>
        <v>0</v>
      </c>
      <c r="CP24" s="1">
        <f>IFERROR(VLOOKUP(Tabla5[[#This Row],[Producto 29]],Tabla3[[Nombre]:[Ud]],5,FALSE)*Tabla5[[#This Row],[Cantidad 29]],0)</f>
        <v>0</v>
      </c>
      <c r="CS24" s="1">
        <f>IFERROR(VLOOKUP(Tabla5[[#This Row],[Producto 30]],Tabla3[[Nombre]:[Ud]],5,FALSE)*Tabla5[[#This Row],[Cantidad 30]],0)</f>
        <v>0</v>
      </c>
    </row>
    <row r="25" spans="1:97" x14ac:dyDescent="0.35">
      <c r="A25">
        <v>23</v>
      </c>
      <c r="D25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25" s="1">
        <f>Tabla5[[#This Row],[Minutos]]*Tabla13[[#Totals],[Precio Unitario]]</f>
        <v>0</v>
      </c>
      <c r="G25" s="1">
        <f>IFERROR(VLOOKUP(Tabla5[[#This Row],[Persona]],Tabla1[[Nombre]:[Ud]],7,FALSE) *Tabla5[[#This Row],[Minutos]],0)</f>
        <v>0</v>
      </c>
      <c r="J25" s="1">
        <f>IFERROR(VLOOKUP(Tabla5[[#This Row],[Producto 1]],Tabla3[[Nombre]:[Ud]],5,FALSE)*Tabla5[[#This Row],[Cantidad 1]],0)</f>
        <v>0</v>
      </c>
      <c r="M25" s="1">
        <f>IFERROR(VLOOKUP(Tabla5[[#This Row],[Producto 2]],Tabla3[[Nombre]:[Ud]],5,FALSE)*Tabla5[[#This Row],[Cantidad 2]],0)</f>
        <v>0</v>
      </c>
      <c r="P25" s="1">
        <f>IFERROR(VLOOKUP(Tabla5[[#This Row],[Producto 3]],Tabla3[[Nombre]:[Ud]],5,FALSE)*Tabla5[[#This Row],[Cantidad 3]],0)</f>
        <v>0</v>
      </c>
      <c r="S25" s="1">
        <f>IFERROR(VLOOKUP(Tabla5[[#This Row],[Producto 4]],Tabla3[[Nombre]:[Ud]],5,FALSE)*Tabla5[[#This Row],[Cantidad 4]],0)</f>
        <v>0</v>
      </c>
      <c r="V25" s="1">
        <f>IFERROR(VLOOKUP(Tabla5[[#This Row],[Producto 5]],Tabla3[[Nombre]:[Ud]],5,FALSE)*Tabla5[[#This Row],[Cantidad 5]],0)</f>
        <v>0</v>
      </c>
      <c r="Y25" s="1">
        <f>IFERROR(VLOOKUP(Tabla5[[#This Row],[Producto 6]],Tabla3[[Nombre]:[Ud]],5,FALSE)*Tabla5[[#This Row],[Cantidad 6]],0)</f>
        <v>0</v>
      </c>
      <c r="AB25" s="1">
        <f>IFERROR(VLOOKUP(Tabla5[[#This Row],[Producto 7]],Tabla3[[Nombre]:[Ud]],5,FALSE)*Tabla5[[#This Row],[Cantidad 7]],0)</f>
        <v>0</v>
      </c>
      <c r="AE25" s="1">
        <f>IFERROR(VLOOKUP(Tabla5[[#This Row],[Producto 8]],Tabla3[[Nombre]:[Ud]],5,FALSE)*Tabla5[[#This Row],[Cantidad 8]],0)</f>
        <v>0</v>
      </c>
      <c r="AH25" s="1">
        <f>IFERROR(VLOOKUP(Tabla5[[#This Row],[Producto 9]],Tabla3[[Nombre]:[Ud]],5,FALSE)*Tabla5[[#This Row],[Cantidad 9]],0)</f>
        <v>0</v>
      </c>
      <c r="AK25" s="1">
        <f>IFERROR(VLOOKUP(Tabla5[[#This Row],[Producto 10]],Tabla3[[Nombre]:[Ud]],5,FALSE)*Tabla5[[#This Row],[Cantidad 10]],0)</f>
        <v>0</v>
      </c>
      <c r="AN25" s="1">
        <f>IFERROR(VLOOKUP(Tabla5[[#This Row],[Producto 11]],Tabla3[[Nombre]:[Ud]],5,FALSE)*Tabla5[[#This Row],[Cantidad 11]],0)</f>
        <v>0</v>
      </c>
      <c r="AQ25" s="1">
        <f>IFERROR(VLOOKUP(Tabla5[[#This Row],[Producto 12]],Tabla3[[Nombre]:[Ud]],5,FALSE)*Tabla5[[#This Row],[Cantidad 12]],0)</f>
        <v>0</v>
      </c>
      <c r="AT25" s="1">
        <f>IFERROR(VLOOKUP(Tabla5[[#This Row],[Producto 13]],Tabla3[[Nombre]:[Ud]],5,FALSE)*Tabla5[[#This Row],[Cantidad 13]],0)</f>
        <v>0</v>
      </c>
      <c r="AW25" s="1">
        <f>IFERROR(VLOOKUP(Tabla5[[#This Row],[Producto 14]],Tabla3[[Nombre]:[Ud]],5,FALSE)*Tabla5[[#This Row],[Cantidad 14]],0)</f>
        <v>0</v>
      </c>
      <c r="AZ25" s="1">
        <f>IFERROR(VLOOKUP(Tabla5[[#This Row],[Producto 15]],Tabla3[[Nombre]:[Ud]],5,FALSE)*Tabla5[[#This Row],[Cantidad 15]],0)</f>
        <v>0</v>
      </c>
      <c r="BC25" s="1">
        <f>IFERROR(VLOOKUP(Tabla5[[#This Row],[Producto 16]],Tabla3[[Nombre]:[Ud]],5,FALSE)*Tabla5[[#This Row],[Cantidad 16]],0)</f>
        <v>0</v>
      </c>
      <c r="BF25" s="1">
        <f>IFERROR(VLOOKUP(Tabla5[[#This Row],[Producto 17]],Tabla3[[Nombre]:[Ud]],5,FALSE)*Tabla5[[#This Row],[Cantidad 17]],0)</f>
        <v>0</v>
      </c>
      <c r="BI25" s="1">
        <f>IFERROR(VLOOKUP(Tabla5[[#This Row],[Producto 18]],Tabla3[[Nombre]:[Ud]],5,FALSE)*Tabla5[[#This Row],[Cantidad 18]],0)</f>
        <v>0</v>
      </c>
      <c r="BL25" s="1">
        <f>IFERROR(VLOOKUP(Tabla5[[#This Row],[Producto 19]],Tabla3[[Nombre]:[Ud]],5,FALSE)*Tabla5[[#This Row],[Cantidad 19]],0)</f>
        <v>0</v>
      </c>
      <c r="BO25" s="1">
        <f>IFERROR(VLOOKUP(Tabla5[[#This Row],[Producto 20]],Tabla3[[Nombre]:[Ud]],5,FALSE)*Tabla5[[#This Row],[Cantidad 20]],0)</f>
        <v>0</v>
      </c>
      <c r="BR25" s="1">
        <f>IFERROR(VLOOKUP(Tabla5[[#This Row],[Producto 21]],Tabla3[[Nombre]:[Ud]],5,FALSE)*Tabla5[[#This Row],[Cantidad 21]],0)</f>
        <v>0</v>
      </c>
      <c r="BU25" s="1">
        <f>IFERROR(VLOOKUP(Tabla5[[#This Row],[Producto 22]],Tabla3[[Nombre]:[Ud]],5,FALSE)*Tabla5[[#This Row],[Cantidad 22]],0)</f>
        <v>0</v>
      </c>
      <c r="BX25" s="1">
        <f>IFERROR(VLOOKUP(Tabla5[[#This Row],[Producto 23]],Tabla3[[Nombre]:[Ud]],5,FALSE)*Tabla5[[#This Row],[Cantidad 23]],0)</f>
        <v>0</v>
      </c>
      <c r="CA25" s="1">
        <f>IFERROR(VLOOKUP(Tabla5[[#This Row],[Producto 24]],Tabla3[[Nombre]:[Ud]],5,FALSE)*Tabla5[[#This Row],[Cantidad 24]],0)</f>
        <v>0</v>
      </c>
      <c r="CD25" s="1">
        <f>IFERROR(VLOOKUP(Tabla5[[#This Row],[Producto 25]],Tabla3[[Nombre]:[Ud]],5,FALSE)*Tabla5[[#This Row],[Cantidad 25]],0)</f>
        <v>0</v>
      </c>
      <c r="CG25" s="1">
        <f>IFERROR(VLOOKUP(Tabla5[[#This Row],[Producto 26]],Tabla3[[Nombre]:[Ud]],5,FALSE)*Tabla5[[#This Row],[Cantidad 26]],0)</f>
        <v>0</v>
      </c>
      <c r="CJ25" s="1">
        <f>IFERROR(VLOOKUP(Tabla5[[#This Row],[Producto 27]],Tabla3[[Nombre]:[Ud]],5,FALSE)*Tabla5[[#This Row],[Cantidad 27]],0)</f>
        <v>0</v>
      </c>
      <c r="CM25" s="1">
        <f>IFERROR(VLOOKUP(Tabla5[[#This Row],[Producto 28]],Tabla3[[Nombre]:[Ud]],5,FALSE)*Tabla5[[#This Row],[Cantidad 28]],0)</f>
        <v>0</v>
      </c>
      <c r="CP25" s="1">
        <f>IFERROR(VLOOKUP(Tabla5[[#This Row],[Producto 29]],Tabla3[[Nombre]:[Ud]],5,FALSE)*Tabla5[[#This Row],[Cantidad 29]],0)</f>
        <v>0</v>
      </c>
      <c r="CS25" s="1">
        <f>IFERROR(VLOOKUP(Tabla5[[#This Row],[Producto 30]],Tabla3[[Nombre]:[Ud]],5,FALSE)*Tabla5[[#This Row],[Cantidad 30]],0)</f>
        <v>0</v>
      </c>
    </row>
    <row r="26" spans="1:97" x14ac:dyDescent="0.35">
      <c r="A26">
        <v>24</v>
      </c>
      <c r="D26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26" s="1">
        <f>Tabla5[[#This Row],[Minutos]]*Tabla13[[#Totals],[Precio Unitario]]</f>
        <v>0</v>
      </c>
      <c r="G26" s="1">
        <f>IFERROR(VLOOKUP(Tabla5[[#This Row],[Persona]],Tabla1[[Nombre]:[Ud]],7,FALSE) *Tabla5[[#This Row],[Minutos]],0)</f>
        <v>0</v>
      </c>
      <c r="J26" s="1">
        <f>IFERROR(VLOOKUP(Tabla5[[#This Row],[Producto 1]],Tabla3[[Nombre]:[Ud]],5,FALSE)*Tabla5[[#This Row],[Cantidad 1]],0)</f>
        <v>0</v>
      </c>
      <c r="M26" s="1">
        <f>IFERROR(VLOOKUP(Tabla5[[#This Row],[Producto 2]],Tabla3[[Nombre]:[Ud]],5,FALSE)*Tabla5[[#This Row],[Cantidad 2]],0)</f>
        <v>0</v>
      </c>
      <c r="P26" s="1">
        <f>IFERROR(VLOOKUP(Tabla5[[#This Row],[Producto 3]],Tabla3[[Nombre]:[Ud]],5,FALSE)*Tabla5[[#This Row],[Cantidad 3]],0)</f>
        <v>0</v>
      </c>
      <c r="S26" s="1">
        <f>IFERROR(VLOOKUP(Tabla5[[#This Row],[Producto 4]],Tabla3[[Nombre]:[Ud]],5,FALSE)*Tabla5[[#This Row],[Cantidad 4]],0)</f>
        <v>0</v>
      </c>
      <c r="V26" s="1">
        <f>IFERROR(VLOOKUP(Tabla5[[#This Row],[Producto 5]],Tabla3[[Nombre]:[Ud]],5,FALSE)*Tabla5[[#This Row],[Cantidad 5]],0)</f>
        <v>0</v>
      </c>
      <c r="Y26" s="1">
        <f>IFERROR(VLOOKUP(Tabla5[[#This Row],[Producto 6]],Tabla3[[Nombre]:[Ud]],5,FALSE)*Tabla5[[#This Row],[Cantidad 6]],0)</f>
        <v>0</v>
      </c>
      <c r="AB26" s="1">
        <f>IFERROR(VLOOKUP(Tabla5[[#This Row],[Producto 7]],Tabla3[[Nombre]:[Ud]],5,FALSE)*Tabla5[[#This Row],[Cantidad 7]],0)</f>
        <v>0</v>
      </c>
      <c r="AE26" s="1">
        <f>IFERROR(VLOOKUP(Tabla5[[#This Row],[Producto 8]],Tabla3[[Nombre]:[Ud]],5,FALSE)*Tabla5[[#This Row],[Cantidad 8]],0)</f>
        <v>0</v>
      </c>
      <c r="AH26" s="1">
        <f>IFERROR(VLOOKUP(Tabla5[[#This Row],[Producto 9]],Tabla3[[Nombre]:[Ud]],5,FALSE)*Tabla5[[#This Row],[Cantidad 9]],0)</f>
        <v>0</v>
      </c>
      <c r="AK26" s="1">
        <f>IFERROR(VLOOKUP(Tabla5[[#This Row],[Producto 10]],Tabla3[[Nombre]:[Ud]],5,FALSE)*Tabla5[[#This Row],[Cantidad 10]],0)</f>
        <v>0</v>
      </c>
      <c r="AN26" s="1">
        <f>IFERROR(VLOOKUP(Tabla5[[#This Row],[Producto 11]],Tabla3[[Nombre]:[Ud]],5,FALSE)*Tabla5[[#This Row],[Cantidad 11]],0)</f>
        <v>0</v>
      </c>
      <c r="AQ26" s="1">
        <f>IFERROR(VLOOKUP(Tabla5[[#This Row],[Producto 12]],Tabla3[[Nombre]:[Ud]],5,FALSE)*Tabla5[[#This Row],[Cantidad 12]],0)</f>
        <v>0</v>
      </c>
      <c r="AT26" s="1">
        <f>IFERROR(VLOOKUP(Tabla5[[#This Row],[Producto 13]],Tabla3[[Nombre]:[Ud]],5,FALSE)*Tabla5[[#This Row],[Cantidad 13]],0)</f>
        <v>0</v>
      </c>
      <c r="AW26" s="1">
        <f>IFERROR(VLOOKUP(Tabla5[[#This Row],[Producto 14]],Tabla3[[Nombre]:[Ud]],5,FALSE)*Tabla5[[#This Row],[Cantidad 14]],0)</f>
        <v>0</v>
      </c>
      <c r="AZ26" s="1">
        <f>IFERROR(VLOOKUP(Tabla5[[#This Row],[Producto 15]],Tabla3[[Nombre]:[Ud]],5,FALSE)*Tabla5[[#This Row],[Cantidad 15]],0)</f>
        <v>0</v>
      </c>
      <c r="BC26" s="1">
        <f>IFERROR(VLOOKUP(Tabla5[[#This Row],[Producto 16]],Tabla3[[Nombre]:[Ud]],5,FALSE)*Tabla5[[#This Row],[Cantidad 16]],0)</f>
        <v>0</v>
      </c>
      <c r="BF26" s="1">
        <f>IFERROR(VLOOKUP(Tabla5[[#This Row],[Producto 17]],Tabla3[[Nombre]:[Ud]],5,FALSE)*Tabla5[[#This Row],[Cantidad 17]],0)</f>
        <v>0</v>
      </c>
      <c r="BI26" s="1">
        <f>IFERROR(VLOOKUP(Tabla5[[#This Row],[Producto 18]],Tabla3[[Nombre]:[Ud]],5,FALSE)*Tabla5[[#This Row],[Cantidad 18]],0)</f>
        <v>0</v>
      </c>
      <c r="BL26" s="1">
        <f>IFERROR(VLOOKUP(Tabla5[[#This Row],[Producto 19]],Tabla3[[Nombre]:[Ud]],5,FALSE)*Tabla5[[#This Row],[Cantidad 19]],0)</f>
        <v>0</v>
      </c>
      <c r="BO26" s="1">
        <f>IFERROR(VLOOKUP(Tabla5[[#This Row],[Producto 20]],Tabla3[[Nombre]:[Ud]],5,FALSE)*Tabla5[[#This Row],[Cantidad 20]],0)</f>
        <v>0</v>
      </c>
      <c r="BR26" s="1">
        <f>IFERROR(VLOOKUP(Tabla5[[#This Row],[Producto 21]],Tabla3[[Nombre]:[Ud]],5,FALSE)*Tabla5[[#This Row],[Cantidad 21]],0)</f>
        <v>0</v>
      </c>
      <c r="BU26" s="1">
        <f>IFERROR(VLOOKUP(Tabla5[[#This Row],[Producto 22]],Tabla3[[Nombre]:[Ud]],5,FALSE)*Tabla5[[#This Row],[Cantidad 22]],0)</f>
        <v>0</v>
      </c>
      <c r="BX26" s="1">
        <f>IFERROR(VLOOKUP(Tabla5[[#This Row],[Producto 23]],Tabla3[[Nombre]:[Ud]],5,FALSE)*Tabla5[[#This Row],[Cantidad 23]],0)</f>
        <v>0</v>
      </c>
      <c r="CA26" s="1">
        <f>IFERROR(VLOOKUP(Tabla5[[#This Row],[Producto 24]],Tabla3[[Nombre]:[Ud]],5,FALSE)*Tabla5[[#This Row],[Cantidad 24]],0)</f>
        <v>0</v>
      </c>
      <c r="CD26" s="1">
        <f>IFERROR(VLOOKUP(Tabla5[[#This Row],[Producto 25]],Tabla3[[Nombre]:[Ud]],5,FALSE)*Tabla5[[#This Row],[Cantidad 25]],0)</f>
        <v>0</v>
      </c>
      <c r="CG26" s="1">
        <f>IFERROR(VLOOKUP(Tabla5[[#This Row],[Producto 26]],Tabla3[[Nombre]:[Ud]],5,FALSE)*Tabla5[[#This Row],[Cantidad 26]],0)</f>
        <v>0</v>
      </c>
      <c r="CJ26" s="1">
        <f>IFERROR(VLOOKUP(Tabla5[[#This Row],[Producto 27]],Tabla3[[Nombre]:[Ud]],5,FALSE)*Tabla5[[#This Row],[Cantidad 27]],0)</f>
        <v>0</v>
      </c>
      <c r="CM26" s="1">
        <f>IFERROR(VLOOKUP(Tabla5[[#This Row],[Producto 28]],Tabla3[[Nombre]:[Ud]],5,FALSE)*Tabla5[[#This Row],[Cantidad 28]],0)</f>
        <v>0</v>
      </c>
      <c r="CP26" s="1">
        <f>IFERROR(VLOOKUP(Tabla5[[#This Row],[Producto 29]],Tabla3[[Nombre]:[Ud]],5,FALSE)*Tabla5[[#This Row],[Cantidad 29]],0)</f>
        <v>0</v>
      </c>
      <c r="CS26" s="1">
        <f>IFERROR(VLOOKUP(Tabla5[[#This Row],[Producto 30]],Tabla3[[Nombre]:[Ud]],5,FALSE)*Tabla5[[#This Row],[Cantidad 30]],0)</f>
        <v>0</v>
      </c>
    </row>
    <row r="27" spans="1:97" x14ac:dyDescent="0.35">
      <c r="A27">
        <v>25</v>
      </c>
      <c r="D27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27" s="1">
        <f>Tabla5[[#This Row],[Minutos]]*Tabla13[[#Totals],[Precio Unitario]]</f>
        <v>0</v>
      </c>
      <c r="G27" s="1">
        <f>IFERROR(VLOOKUP(Tabla5[[#This Row],[Persona]],Tabla1[[Nombre]:[Ud]],7,FALSE) *Tabla5[[#This Row],[Minutos]],0)</f>
        <v>0</v>
      </c>
      <c r="J27" s="1">
        <f>IFERROR(VLOOKUP(Tabla5[[#This Row],[Producto 1]],Tabla3[[Nombre]:[Ud]],5,FALSE)*Tabla5[[#This Row],[Cantidad 1]],0)</f>
        <v>0</v>
      </c>
      <c r="M27" s="1">
        <f>IFERROR(VLOOKUP(Tabla5[[#This Row],[Producto 2]],Tabla3[[Nombre]:[Ud]],5,FALSE)*Tabla5[[#This Row],[Cantidad 2]],0)</f>
        <v>0</v>
      </c>
      <c r="P27" s="1">
        <f>IFERROR(VLOOKUP(Tabla5[[#This Row],[Producto 3]],Tabla3[[Nombre]:[Ud]],5,FALSE)*Tabla5[[#This Row],[Cantidad 3]],0)</f>
        <v>0</v>
      </c>
      <c r="S27" s="1">
        <f>IFERROR(VLOOKUP(Tabla5[[#This Row],[Producto 4]],Tabla3[[Nombre]:[Ud]],5,FALSE)*Tabla5[[#This Row],[Cantidad 4]],0)</f>
        <v>0</v>
      </c>
      <c r="V27" s="1">
        <f>IFERROR(VLOOKUP(Tabla5[[#This Row],[Producto 5]],Tabla3[[Nombre]:[Ud]],5,FALSE)*Tabla5[[#This Row],[Cantidad 5]],0)</f>
        <v>0</v>
      </c>
      <c r="Y27" s="1">
        <f>IFERROR(VLOOKUP(Tabla5[[#This Row],[Producto 6]],Tabla3[[Nombre]:[Ud]],5,FALSE)*Tabla5[[#This Row],[Cantidad 6]],0)</f>
        <v>0</v>
      </c>
      <c r="AB27" s="1">
        <f>IFERROR(VLOOKUP(Tabla5[[#This Row],[Producto 7]],Tabla3[[Nombre]:[Ud]],5,FALSE)*Tabla5[[#This Row],[Cantidad 7]],0)</f>
        <v>0</v>
      </c>
      <c r="AE27" s="1">
        <f>IFERROR(VLOOKUP(Tabla5[[#This Row],[Producto 8]],Tabla3[[Nombre]:[Ud]],5,FALSE)*Tabla5[[#This Row],[Cantidad 8]],0)</f>
        <v>0</v>
      </c>
      <c r="AH27" s="1">
        <f>IFERROR(VLOOKUP(Tabla5[[#This Row],[Producto 9]],Tabla3[[Nombre]:[Ud]],5,FALSE)*Tabla5[[#This Row],[Cantidad 9]],0)</f>
        <v>0</v>
      </c>
      <c r="AK27" s="1">
        <f>IFERROR(VLOOKUP(Tabla5[[#This Row],[Producto 10]],Tabla3[[Nombre]:[Ud]],5,FALSE)*Tabla5[[#This Row],[Cantidad 10]],0)</f>
        <v>0</v>
      </c>
      <c r="AN27" s="1">
        <f>IFERROR(VLOOKUP(Tabla5[[#This Row],[Producto 11]],Tabla3[[Nombre]:[Ud]],5,FALSE)*Tabla5[[#This Row],[Cantidad 11]],0)</f>
        <v>0</v>
      </c>
      <c r="AQ27" s="1">
        <f>IFERROR(VLOOKUP(Tabla5[[#This Row],[Producto 12]],Tabla3[[Nombre]:[Ud]],5,FALSE)*Tabla5[[#This Row],[Cantidad 12]],0)</f>
        <v>0</v>
      </c>
      <c r="AT27" s="1">
        <f>IFERROR(VLOOKUP(Tabla5[[#This Row],[Producto 13]],Tabla3[[Nombre]:[Ud]],5,FALSE)*Tabla5[[#This Row],[Cantidad 13]],0)</f>
        <v>0</v>
      </c>
      <c r="AW27" s="1">
        <f>IFERROR(VLOOKUP(Tabla5[[#This Row],[Producto 14]],Tabla3[[Nombre]:[Ud]],5,FALSE)*Tabla5[[#This Row],[Cantidad 14]],0)</f>
        <v>0</v>
      </c>
      <c r="AZ27" s="1">
        <f>IFERROR(VLOOKUP(Tabla5[[#This Row],[Producto 15]],Tabla3[[Nombre]:[Ud]],5,FALSE)*Tabla5[[#This Row],[Cantidad 15]],0)</f>
        <v>0</v>
      </c>
      <c r="BC27" s="1">
        <f>IFERROR(VLOOKUP(Tabla5[[#This Row],[Producto 16]],Tabla3[[Nombre]:[Ud]],5,FALSE)*Tabla5[[#This Row],[Cantidad 16]],0)</f>
        <v>0</v>
      </c>
      <c r="BF27" s="1">
        <f>IFERROR(VLOOKUP(Tabla5[[#This Row],[Producto 17]],Tabla3[[Nombre]:[Ud]],5,FALSE)*Tabla5[[#This Row],[Cantidad 17]],0)</f>
        <v>0</v>
      </c>
      <c r="BI27" s="1">
        <f>IFERROR(VLOOKUP(Tabla5[[#This Row],[Producto 18]],Tabla3[[Nombre]:[Ud]],5,FALSE)*Tabla5[[#This Row],[Cantidad 18]],0)</f>
        <v>0</v>
      </c>
      <c r="BL27" s="1">
        <f>IFERROR(VLOOKUP(Tabla5[[#This Row],[Producto 19]],Tabla3[[Nombre]:[Ud]],5,FALSE)*Tabla5[[#This Row],[Cantidad 19]],0)</f>
        <v>0</v>
      </c>
      <c r="BO27" s="1">
        <f>IFERROR(VLOOKUP(Tabla5[[#This Row],[Producto 20]],Tabla3[[Nombre]:[Ud]],5,FALSE)*Tabla5[[#This Row],[Cantidad 20]],0)</f>
        <v>0</v>
      </c>
      <c r="BR27" s="1">
        <f>IFERROR(VLOOKUP(Tabla5[[#This Row],[Producto 21]],Tabla3[[Nombre]:[Ud]],5,FALSE)*Tabla5[[#This Row],[Cantidad 21]],0)</f>
        <v>0</v>
      </c>
      <c r="BU27" s="1">
        <f>IFERROR(VLOOKUP(Tabla5[[#This Row],[Producto 22]],Tabla3[[Nombre]:[Ud]],5,FALSE)*Tabla5[[#This Row],[Cantidad 22]],0)</f>
        <v>0</v>
      </c>
      <c r="BX27" s="1">
        <f>IFERROR(VLOOKUP(Tabla5[[#This Row],[Producto 23]],Tabla3[[Nombre]:[Ud]],5,FALSE)*Tabla5[[#This Row],[Cantidad 23]],0)</f>
        <v>0</v>
      </c>
      <c r="CA27" s="1">
        <f>IFERROR(VLOOKUP(Tabla5[[#This Row],[Producto 24]],Tabla3[[Nombre]:[Ud]],5,FALSE)*Tabla5[[#This Row],[Cantidad 24]],0)</f>
        <v>0</v>
      </c>
      <c r="CD27" s="1">
        <f>IFERROR(VLOOKUP(Tabla5[[#This Row],[Producto 25]],Tabla3[[Nombre]:[Ud]],5,FALSE)*Tabla5[[#This Row],[Cantidad 25]],0)</f>
        <v>0</v>
      </c>
      <c r="CG27" s="1">
        <f>IFERROR(VLOOKUP(Tabla5[[#This Row],[Producto 26]],Tabla3[[Nombre]:[Ud]],5,FALSE)*Tabla5[[#This Row],[Cantidad 26]],0)</f>
        <v>0</v>
      </c>
      <c r="CJ27" s="1">
        <f>IFERROR(VLOOKUP(Tabla5[[#This Row],[Producto 27]],Tabla3[[Nombre]:[Ud]],5,FALSE)*Tabla5[[#This Row],[Cantidad 27]],0)</f>
        <v>0</v>
      </c>
      <c r="CM27" s="1">
        <f>IFERROR(VLOOKUP(Tabla5[[#This Row],[Producto 28]],Tabla3[[Nombre]:[Ud]],5,FALSE)*Tabla5[[#This Row],[Cantidad 28]],0)</f>
        <v>0</v>
      </c>
      <c r="CP27" s="1">
        <f>IFERROR(VLOOKUP(Tabla5[[#This Row],[Producto 29]],Tabla3[[Nombre]:[Ud]],5,FALSE)*Tabla5[[#This Row],[Cantidad 29]],0)</f>
        <v>0</v>
      </c>
      <c r="CS27" s="1">
        <f>IFERROR(VLOOKUP(Tabla5[[#This Row],[Producto 30]],Tabla3[[Nombre]:[Ud]],5,FALSE)*Tabla5[[#This Row],[Cantidad 30]],0)</f>
        <v>0</v>
      </c>
    </row>
    <row r="28" spans="1:97" x14ac:dyDescent="0.35">
      <c r="A28">
        <v>26</v>
      </c>
      <c r="D28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28" s="1">
        <f>Tabla5[[#This Row],[Minutos]]*Tabla13[[#Totals],[Precio Unitario]]</f>
        <v>0</v>
      </c>
      <c r="G28" s="1">
        <f>IFERROR(VLOOKUP(Tabla5[[#This Row],[Persona]],Tabla1[[Nombre]:[Ud]],7,FALSE) *Tabla5[[#This Row],[Minutos]],0)</f>
        <v>0</v>
      </c>
      <c r="J28" s="1">
        <f>IFERROR(VLOOKUP(Tabla5[[#This Row],[Producto 1]],Tabla3[[Nombre]:[Ud]],5,FALSE)*Tabla5[[#This Row],[Cantidad 1]],0)</f>
        <v>0</v>
      </c>
      <c r="M28" s="1">
        <f>IFERROR(VLOOKUP(Tabla5[[#This Row],[Producto 2]],Tabla3[[Nombre]:[Ud]],5,FALSE)*Tabla5[[#This Row],[Cantidad 2]],0)</f>
        <v>0</v>
      </c>
      <c r="P28" s="1">
        <f>IFERROR(VLOOKUP(Tabla5[[#This Row],[Producto 3]],Tabla3[[Nombre]:[Ud]],5,FALSE)*Tabla5[[#This Row],[Cantidad 3]],0)</f>
        <v>0</v>
      </c>
      <c r="S28" s="1">
        <f>IFERROR(VLOOKUP(Tabla5[[#This Row],[Producto 4]],Tabla3[[Nombre]:[Ud]],5,FALSE)*Tabla5[[#This Row],[Cantidad 4]],0)</f>
        <v>0</v>
      </c>
      <c r="V28" s="1">
        <f>IFERROR(VLOOKUP(Tabla5[[#This Row],[Producto 5]],Tabla3[[Nombre]:[Ud]],5,FALSE)*Tabla5[[#This Row],[Cantidad 5]],0)</f>
        <v>0</v>
      </c>
      <c r="Y28" s="1">
        <f>IFERROR(VLOOKUP(Tabla5[[#This Row],[Producto 6]],Tabla3[[Nombre]:[Ud]],5,FALSE)*Tabla5[[#This Row],[Cantidad 6]],0)</f>
        <v>0</v>
      </c>
      <c r="AB28" s="1">
        <f>IFERROR(VLOOKUP(Tabla5[[#This Row],[Producto 7]],Tabla3[[Nombre]:[Ud]],5,FALSE)*Tabla5[[#This Row],[Cantidad 7]],0)</f>
        <v>0</v>
      </c>
      <c r="AE28" s="1">
        <f>IFERROR(VLOOKUP(Tabla5[[#This Row],[Producto 8]],Tabla3[[Nombre]:[Ud]],5,FALSE)*Tabla5[[#This Row],[Cantidad 8]],0)</f>
        <v>0</v>
      </c>
      <c r="AH28" s="1">
        <f>IFERROR(VLOOKUP(Tabla5[[#This Row],[Producto 9]],Tabla3[[Nombre]:[Ud]],5,FALSE)*Tabla5[[#This Row],[Cantidad 9]],0)</f>
        <v>0</v>
      </c>
      <c r="AK28" s="1">
        <f>IFERROR(VLOOKUP(Tabla5[[#This Row],[Producto 10]],Tabla3[[Nombre]:[Ud]],5,FALSE)*Tabla5[[#This Row],[Cantidad 10]],0)</f>
        <v>0</v>
      </c>
      <c r="AN28" s="1">
        <f>IFERROR(VLOOKUP(Tabla5[[#This Row],[Producto 11]],Tabla3[[Nombre]:[Ud]],5,FALSE)*Tabla5[[#This Row],[Cantidad 11]],0)</f>
        <v>0</v>
      </c>
      <c r="AQ28" s="1">
        <f>IFERROR(VLOOKUP(Tabla5[[#This Row],[Producto 12]],Tabla3[[Nombre]:[Ud]],5,FALSE)*Tabla5[[#This Row],[Cantidad 12]],0)</f>
        <v>0</v>
      </c>
      <c r="AT28" s="1">
        <f>IFERROR(VLOOKUP(Tabla5[[#This Row],[Producto 13]],Tabla3[[Nombre]:[Ud]],5,FALSE)*Tabla5[[#This Row],[Cantidad 13]],0)</f>
        <v>0</v>
      </c>
      <c r="AW28" s="1">
        <f>IFERROR(VLOOKUP(Tabla5[[#This Row],[Producto 14]],Tabla3[[Nombre]:[Ud]],5,FALSE)*Tabla5[[#This Row],[Cantidad 14]],0)</f>
        <v>0</v>
      </c>
      <c r="AZ28" s="1">
        <f>IFERROR(VLOOKUP(Tabla5[[#This Row],[Producto 15]],Tabla3[[Nombre]:[Ud]],5,FALSE)*Tabla5[[#This Row],[Cantidad 15]],0)</f>
        <v>0</v>
      </c>
      <c r="BC28" s="1">
        <f>IFERROR(VLOOKUP(Tabla5[[#This Row],[Producto 16]],Tabla3[[Nombre]:[Ud]],5,FALSE)*Tabla5[[#This Row],[Cantidad 16]],0)</f>
        <v>0</v>
      </c>
      <c r="BF28" s="1">
        <f>IFERROR(VLOOKUP(Tabla5[[#This Row],[Producto 17]],Tabla3[[Nombre]:[Ud]],5,FALSE)*Tabla5[[#This Row],[Cantidad 17]],0)</f>
        <v>0</v>
      </c>
      <c r="BI28" s="1">
        <f>IFERROR(VLOOKUP(Tabla5[[#This Row],[Producto 18]],Tabla3[[Nombre]:[Ud]],5,FALSE)*Tabla5[[#This Row],[Cantidad 18]],0)</f>
        <v>0</v>
      </c>
      <c r="BL28" s="1">
        <f>IFERROR(VLOOKUP(Tabla5[[#This Row],[Producto 19]],Tabla3[[Nombre]:[Ud]],5,FALSE)*Tabla5[[#This Row],[Cantidad 19]],0)</f>
        <v>0</v>
      </c>
      <c r="BO28" s="1">
        <f>IFERROR(VLOOKUP(Tabla5[[#This Row],[Producto 20]],Tabla3[[Nombre]:[Ud]],5,FALSE)*Tabla5[[#This Row],[Cantidad 20]],0)</f>
        <v>0</v>
      </c>
      <c r="BR28" s="1">
        <f>IFERROR(VLOOKUP(Tabla5[[#This Row],[Producto 21]],Tabla3[[Nombre]:[Ud]],5,FALSE)*Tabla5[[#This Row],[Cantidad 21]],0)</f>
        <v>0</v>
      </c>
      <c r="BU28" s="1">
        <f>IFERROR(VLOOKUP(Tabla5[[#This Row],[Producto 22]],Tabla3[[Nombre]:[Ud]],5,FALSE)*Tabla5[[#This Row],[Cantidad 22]],0)</f>
        <v>0</v>
      </c>
      <c r="BX28" s="1">
        <f>IFERROR(VLOOKUP(Tabla5[[#This Row],[Producto 23]],Tabla3[[Nombre]:[Ud]],5,FALSE)*Tabla5[[#This Row],[Cantidad 23]],0)</f>
        <v>0</v>
      </c>
      <c r="CA28" s="1">
        <f>IFERROR(VLOOKUP(Tabla5[[#This Row],[Producto 24]],Tabla3[[Nombre]:[Ud]],5,FALSE)*Tabla5[[#This Row],[Cantidad 24]],0)</f>
        <v>0</v>
      </c>
      <c r="CD28" s="1">
        <f>IFERROR(VLOOKUP(Tabla5[[#This Row],[Producto 25]],Tabla3[[Nombre]:[Ud]],5,FALSE)*Tabla5[[#This Row],[Cantidad 25]],0)</f>
        <v>0</v>
      </c>
      <c r="CG28" s="1">
        <f>IFERROR(VLOOKUP(Tabla5[[#This Row],[Producto 26]],Tabla3[[Nombre]:[Ud]],5,FALSE)*Tabla5[[#This Row],[Cantidad 26]],0)</f>
        <v>0</v>
      </c>
      <c r="CJ28" s="1">
        <f>IFERROR(VLOOKUP(Tabla5[[#This Row],[Producto 27]],Tabla3[[Nombre]:[Ud]],5,FALSE)*Tabla5[[#This Row],[Cantidad 27]],0)</f>
        <v>0</v>
      </c>
      <c r="CM28" s="1">
        <f>IFERROR(VLOOKUP(Tabla5[[#This Row],[Producto 28]],Tabla3[[Nombre]:[Ud]],5,FALSE)*Tabla5[[#This Row],[Cantidad 28]],0)</f>
        <v>0</v>
      </c>
      <c r="CP28" s="1">
        <f>IFERROR(VLOOKUP(Tabla5[[#This Row],[Producto 29]],Tabla3[[Nombre]:[Ud]],5,FALSE)*Tabla5[[#This Row],[Cantidad 29]],0)</f>
        <v>0</v>
      </c>
      <c r="CS28" s="1">
        <f>IFERROR(VLOOKUP(Tabla5[[#This Row],[Producto 30]],Tabla3[[Nombre]:[Ud]],5,FALSE)*Tabla5[[#This Row],[Cantidad 30]],0)</f>
        <v>0</v>
      </c>
    </row>
    <row r="29" spans="1:97" x14ac:dyDescent="0.35">
      <c r="A29">
        <v>27</v>
      </c>
      <c r="D29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29" s="1">
        <f>Tabla5[[#This Row],[Minutos]]*Tabla13[[#Totals],[Precio Unitario]]</f>
        <v>0</v>
      </c>
      <c r="G29" s="1">
        <f>IFERROR(VLOOKUP(Tabla5[[#This Row],[Persona]],Tabla1[[Nombre]:[Ud]],7,FALSE) *Tabla5[[#This Row],[Minutos]],0)</f>
        <v>0</v>
      </c>
      <c r="J29" s="1">
        <f>IFERROR(VLOOKUP(Tabla5[[#This Row],[Producto 1]],Tabla3[[Nombre]:[Ud]],5,FALSE)*Tabla5[[#This Row],[Cantidad 1]],0)</f>
        <v>0</v>
      </c>
      <c r="M29" s="1">
        <f>IFERROR(VLOOKUP(Tabla5[[#This Row],[Producto 2]],Tabla3[[Nombre]:[Ud]],5,FALSE)*Tabla5[[#This Row],[Cantidad 2]],0)</f>
        <v>0</v>
      </c>
      <c r="P29" s="1">
        <f>IFERROR(VLOOKUP(Tabla5[[#This Row],[Producto 3]],Tabla3[[Nombre]:[Ud]],5,FALSE)*Tabla5[[#This Row],[Cantidad 3]],0)</f>
        <v>0</v>
      </c>
      <c r="S29" s="1">
        <f>IFERROR(VLOOKUP(Tabla5[[#This Row],[Producto 4]],Tabla3[[Nombre]:[Ud]],5,FALSE)*Tabla5[[#This Row],[Cantidad 4]],0)</f>
        <v>0</v>
      </c>
      <c r="V29" s="1">
        <f>IFERROR(VLOOKUP(Tabla5[[#This Row],[Producto 5]],Tabla3[[Nombre]:[Ud]],5,FALSE)*Tabla5[[#This Row],[Cantidad 5]],0)</f>
        <v>0</v>
      </c>
      <c r="Y29" s="1">
        <f>IFERROR(VLOOKUP(Tabla5[[#This Row],[Producto 6]],Tabla3[[Nombre]:[Ud]],5,FALSE)*Tabla5[[#This Row],[Cantidad 6]],0)</f>
        <v>0</v>
      </c>
      <c r="AB29" s="1">
        <f>IFERROR(VLOOKUP(Tabla5[[#This Row],[Producto 7]],Tabla3[[Nombre]:[Ud]],5,FALSE)*Tabla5[[#This Row],[Cantidad 7]],0)</f>
        <v>0</v>
      </c>
      <c r="AE29" s="1">
        <f>IFERROR(VLOOKUP(Tabla5[[#This Row],[Producto 8]],Tabla3[[Nombre]:[Ud]],5,FALSE)*Tabla5[[#This Row],[Cantidad 8]],0)</f>
        <v>0</v>
      </c>
      <c r="AH29" s="1">
        <f>IFERROR(VLOOKUP(Tabla5[[#This Row],[Producto 9]],Tabla3[[Nombre]:[Ud]],5,FALSE)*Tabla5[[#This Row],[Cantidad 9]],0)</f>
        <v>0</v>
      </c>
      <c r="AK29" s="1">
        <f>IFERROR(VLOOKUP(Tabla5[[#This Row],[Producto 10]],Tabla3[[Nombre]:[Ud]],5,FALSE)*Tabla5[[#This Row],[Cantidad 10]],0)</f>
        <v>0</v>
      </c>
      <c r="AN29" s="1">
        <f>IFERROR(VLOOKUP(Tabla5[[#This Row],[Producto 11]],Tabla3[[Nombre]:[Ud]],5,FALSE)*Tabla5[[#This Row],[Cantidad 11]],0)</f>
        <v>0</v>
      </c>
      <c r="AQ29" s="1">
        <f>IFERROR(VLOOKUP(Tabla5[[#This Row],[Producto 12]],Tabla3[[Nombre]:[Ud]],5,FALSE)*Tabla5[[#This Row],[Cantidad 12]],0)</f>
        <v>0</v>
      </c>
      <c r="AT29" s="1">
        <f>IFERROR(VLOOKUP(Tabla5[[#This Row],[Producto 13]],Tabla3[[Nombre]:[Ud]],5,FALSE)*Tabla5[[#This Row],[Cantidad 13]],0)</f>
        <v>0</v>
      </c>
      <c r="AW29" s="1">
        <f>IFERROR(VLOOKUP(Tabla5[[#This Row],[Producto 14]],Tabla3[[Nombre]:[Ud]],5,FALSE)*Tabla5[[#This Row],[Cantidad 14]],0)</f>
        <v>0</v>
      </c>
      <c r="AZ29" s="1">
        <f>IFERROR(VLOOKUP(Tabla5[[#This Row],[Producto 15]],Tabla3[[Nombre]:[Ud]],5,FALSE)*Tabla5[[#This Row],[Cantidad 15]],0)</f>
        <v>0</v>
      </c>
      <c r="BC29" s="1">
        <f>IFERROR(VLOOKUP(Tabla5[[#This Row],[Producto 16]],Tabla3[[Nombre]:[Ud]],5,FALSE)*Tabla5[[#This Row],[Cantidad 16]],0)</f>
        <v>0</v>
      </c>
      <c r="BF29" s="1">
        <f>IFERROR(VLOOKUP(Tabla5[[#This Row],[Producto 17]],Tabla3[[Nombre]:[Ud]],5,FALSE)*Tabla5[[#This Row],[Cantidad 17]],0)</f>
        <v>0</v>
      </c>
      <c r="BI29" s="1">
        <f>IFERROR(VLOOKUP(Tabla5[[#This Row],[Producto 18]],Tabla3[[Nombre]:[Ud]],5,FALSE)*Tabla5[[#This Row],[Cantidad 18]],0)</f>
        <v>0</v>
      </c>
      <c r="BL29" s="1">
        <f>IFERROR(VLOOKUP(Tabla5[[#This Row],[Producto 19]],Tabla3[[Nombre]:[Ud]],5,FALSE)*Tabla5[[#This Row],[Cantidad 19]],0)</f>
        <v>0</v>
      </c>
      <c r="BO29" s="1">
        <f>IFERROR(VLOOKUP(Tabla5[[#This Row],[Producto 20]],Tabla3[[Nombre]:[Ud]],5,FALSE)*Tabla5[[#This Row],[Cantidad 20]],0)</f>
        <v>0</v>
      </c>
      <c r="BR29" s="1">
        <f>IFERROR(VLOOKUP(Tabla5[[#This Row],[Producto 21]],Tabla3[[Nombre]:[Ud]],5,FALSE)*Tabla5[[#This Row],[Cantidad 21]],0)</f>
        <v>0</v>
      </c>
      <c r="BU29" s="1">
        <f>IFERROR(VLOOKUP(Tabla5[[#This Row],[Producto 22]],Tabla3[[Nombre]:[Ud]],5,FALSE)*Tabla5[[#This Row],[Cantidad 22]],0)</f>
        <v>0</v>
      </c>
      <c r="BX29" s="1">
        <f>IFERROR(VLOOKUP(Tabla5[[#This Row],[Producto 23]],Tabla3[[Nombre]:[Ud]],5,FALSE)*Tabla5[[#This Row],[Cantidad 23]],0)</f>
        <v>0</v>
      </c>
      <c r="CA29" s="1">
        <f>IFERROR(VLOOKUP(Tabla5[[#This Row],[Producto 24]],Tabla3[[Nombre]:[Ud]],5,FALSE)*Tabla5[[#This Row],[Cantidad 24]],0)</f>
        <v>0</v>
      </c>
      <c r="CD29" s="1">
        <f>IFERROR(VLOOKUP(Tabla5[[#This Row],[Producto 25]],Tabla3[[Nombre]:[Ud]],5,FALSE)*Tabla5[[#This Row],[Cantidad 25]],0)</f>
        <v>0</v>
      </c>
      <c r="CG29" s="1">
        <f>IFERROR(VLOOKUP(Tabla5[[#This Row],[Producto 26]],Tabla3[[Nombre]:[Ud]],5,FALSE)*Tabla5[[#This Row],[Cantidad 26]],0)</f>
        <v>0</v>
      </c>
      <c r="CJ29" s="1">
        <f>IFERROR(VLOOKUP(Tabla5[[#This Row],[Producto 27]],Tabla3[[Nombre]:[Ud]],5,FALSE)*Tabla5[[#This Row],[Cantidad 27]],0)</f>
        <v>0</v>
      </c>
      <c r="CM29" s="1">
        <f>IFERROR(VLOOKUP(Tabla5[[#This Row],[Producto 28]],Tabla3[[Nombre]:[Ud]],5,FALSE)*Tabla5[[#This Row],[Cantidad 28]],0)</f>
        <v>0</v>
      </c>
      <c r="CP29" s="1">
        <f>IFERROR(VLOOKUP(Tabla5[[#This Row],[Producto 29]],Tabla3[[Nombre]:[Ud]],5,FALSE)*Tabla5[[#This Row],[Cantidad 29]],0)</f>
        <v>0</v>
      </c>
      <c r="CS29" s="1">
        <f>IFERROR(VLOOKUP(Tabla5[[#This Row],[Producto 30]],Tabla3[[Nombre]:[Ud]],5,FALSE)*Tabla5[[#This Row],[Cantidad 30]],0)</f>
        <v>0</v>
      </c>
    </row>
    <row r="30" spans="1:97" x14ac:dyDescent="0.35">
      <c r="A30">
        <v>28</v>
      </c>
      <c r="D30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30" s="1">
        <f>Tabla5[[#This Row],[Minutos]]*Tabla13[[#Totals],[Precio Unitario]]</f>
        <v>0</v>
      </c>
      <c r="G30" s="1">
        <f>IFERROR(VLOOKUP(Tabla5[[#This Row],[Persona]],Tabla1[[Nombre]:[Ud]],7,FALSE) *Tabla5[[#This Row],[Minutos]],0)</f>
        <v>0</v>
      </c>
      <c r="J30" s="1">
        <f>IFERROR(VLOOKUP(Tabla5[[#This Row],[Producto 1]],Tabla3[[Nombre]:[Ud]],5,FALSE)*Tabla5[[#This Row],[Cantidad 1]],0)</f>
        <v>0</v>
      </c>
      <c r="M30" s="1">
        <f>IFERROR(VLOOKUP(Tabla5[[#This Row],[Producto 2]],Tabla3[[Nombre]:[Ud]],5,FALSE)*Tabla5[[#This Row],[Cantidad 2]],0)</f>
        <v>0</v>
      </c>
      <c r="P30" s="1">
        <f>IFERROR(VLOOKUP(Tabla5[[#This Row],[Producto 3]],Tabla3[[Nombre]:[Ud]],5,FALSE)*Tabla5[[#This Row],[Cantidad 3]],0)</f>
        <v>0</v>
      </c>
      <c r="S30" s="1">
        <f>IFERROR(VLOOKUP(Tabla5[[#This Row],[Producto 4]],Tabla3[[Nombre]:[Ud]],5,FALSE)*Tabla5[[#This Row],[Cantidad 4]],0)</f>
        <v>0</v>
      </c>
      <c r="V30" s="1">
        <f>IFERROR(VLOOKUP(Tabla5[[#This Row],[Producto 5]],Tabla3[[Nombre]:[Ud]],5,FALSE)*Tabla5[[#This Row],[Cantidad 5]],0)</f>
        <v>0</v>
      </c>
      <c r="Y30" s="1">
        <f>IFERROR(VLOOKUP(Tabla5[[#This Row],[Producto 6]],Tabla3[[Nombre]:[Ud]],5,FALSE)*Tabla5[[#This Row],[Cantidad 6]],0)</f>
        <v>0</v>
      </c>
      <c r="AB30" s="1">
        <f>IFERROR(VLOOKUP(Tabla5[[#This Row],[Producto 7]],Tabla3[[Nombre]:[Ud]],5,FALSE)*Tabla5[[#This Row],[Cantidad 7]],0)</f>
        <v>0</v>
      </c>
      <c r="AE30" s="1">
        <f>IFERROR(VLOOKUP(Tabla5[[#This Row],[Producto 8]],Tabla3[[Nombre]:[Ud]],5,FALSE)*Tabla5[[#This Row],[Cantidad 8]],0)</f>
        <v>0</v>
      </c>
      <c r="AH30" s="1">
        <f>IFERROR(VLOOKUP(Tabla5[[#This Row],[Producto 9]],Tabla3[[Nombre]:[Ud]],5,FALSE)*Tabla5[[#This Row],[Cantidad 9]],0)</f>
        <v>0</v>
      </c>
      <c r="AK30" s="1">
        <f>IFERROR(VLOOKUP(Tabla5[[#This Row],[Producto 10]],Tabla3[[Nombre]:[Ud]],5,FALSE)*Tabla5[[#This Row],[Cantidad 10]],0)</f>
        <v>0</v>
      </c>
      <c r="AN30" s="1">
        <f>IFERROR(VLOOKUP(Tabla5[[#This Row],[Producto 11]],Tabla3[[Nombre]:[Ud]],5,FALSE)*Tabla5[[#This Row],[Cantidad 11]],0)</f>
        <v>0</v>
      </c>
      <c r="AQ30" s="1">
        <f>IFERROR(VLOOKUP(Tabla5[[#This Row],[Producto 12]],Tabla3[[Nombre]:[Ud]],5,FALSE)*Tabla5[[#This Row],[Cantidad 12]],0)</f>
        <v>0</v>
      </c>
      <c r="AT30" s="1">
        <f>IFERROR(VLOOKUP(Tabla5[[#This Row],[Producto 13]],Tabla3[[Nombre]:[Ud]],5,FALSE)*Tabla5[[#This Row],[Cantidad 13]],0)</f>
        <v>0</v>
      </c>
      <c r="AW30" s="1">
        <f>IFERROR(VLOOKUP(Tabla5[[#This Row],[Producto 14]],Tabla3[[Nombre]:[Ud]],5,FALSE)*Tabla5[[#This Row],[Cantidad 14]],0)</f>
        <v>0</v>
      </c>
      <c r="AZ30" s="1">
        <f>IFERROR(VLOOKUP(Tabla5[[#This Row],[Producto 15]],Tabla3[[Nombre]:[Ud]],5,FALSE)*Tabla5[[#This Row],[Cantidad 15]],0)</f>
        <v>0</v>
      </c>
      <c r="BC30" s="1">
        <f>IFERROR(VLOOKUP(Tabla5[[#This Row],[Producto 16]],Tabla3[[Nombre]:[Ud]],5,FALSE)*Tabla5[[#This Row],[Cantidad 16]],0)</f>
        <v>0</v>
      </c>
      <c r="BF30" s="1">
        <f>IFERROR(VLOOKUP(Tabla5[[#This Row],[Producto 17]],Tabla3[[Nombre]:[Ud]],5,FALSE)*Tabla5[[#This Row],[Cantidad 17]],0)</f>
        <v>0</v>
      </c>
      <c r="BI30" s="1">
        <f>IFERROR(VLOOKUP(Tabla5[[#This Row],[Producto 18]],Tabla3[[Nombre]:[Ud]],5,FALSE)*Tabla5[[#This Row],[Cantidad 18]],0)</f>
        <v>0</v>
      </c>
      <c r="BL30" s="1">
        <f>IFERROR(VLOOKUP(Tabla5[[#This Row],[Producto 19]],Tabla3[[Nombre]:[Ud]],5,FALSE)*Tabla5[[#This Row],[Cantidad 19]],0)</f>
        <v>0</v>
      </c>
      <c r="BO30" s="1">
        <f>IFERROR(VLOOKUP(Tabla5[[#This Row],[Producto 20]],Tabla3[[Nombre]:[Ud]],5,FALSE)*Tabla5[[#This Row],[Cantidad 20]],0)</f>
        <v>0</v>
      </c>
      <c r="BR30" s="1">
        <f>IFERROR(VLOOKUP(Tabla5[[#This Row],[Producto 21]],Tabla3[[Nombre]:[Ud]],5,FALSE)*Tabla5[[#This Row],[Cantidad 21]],0)</f>
        <v>0</v>
      </c>
      <c r="BU30" s="1">
        <f>IFERROR(VLOOKUP(Tabla5[[#This Row],[Producto 22]],Tabla3[[Nombre]:[Ud]],5,FALSE)*Tabla5[[#This Row],[Cantidad 22]],0)</f>
        <v>0</v>
      </c>
      <c r="BX30" s="1">
        <f>IFERROR(VLOOKUP(Tabla5[[#This Row],[Producto 23]],Tabla3[[Nombre]:[Ud]],5,FALSE)*Tabla5[[#This Row],[Cantidad 23]],0)</f>
        <v>0</v>
      </c>
      <c r="CA30" s="1">
        <f>IFERROR(VLOOKUP(Tabla5[[#This Row],[Producto 24]],Tabla3[[Nombre]:[Ud]],5,FALSE)*Tabla5[[#This Row],[Cantidad 24]],0)</f>
        <v>0</v>
      </c>
      <c r="CD30" s="1">
        <f>IFERROR(VLOOKUP(Tabla5[[#This Row],[Producto 25]],Tabla3[[Nombre]:[Ud]],5,FALSE)*Tabla5[[#This Row],[Cantidad 25]],0)</f>
        <v>0</v>
      </c>
      <c r="CG30" s="1">
        <f>IFERROR(VLOOKUP(Tabla5[[#This Row],[Producto 26]],Tabla3[[Nombre]:[Ud]],5,FALSE)*Tabla5[[#This Row],[Cantidad 26]],0)</f>
        <v>0</v>
      </c>
      <c r="CJ30" s="1">
        <f>IFERROR(VLOOKUP(Tabla5[[#This Row],[Producto 27]],Tabla3[[Nombre]:[Ud]],5,FALSE)*Tabla5[[#This Row],[Cantidad 27]],0)</f>
        <v>0</v>
      </c>
      <c r="CM30" s="1">
        <f>IFERROR(VLOOKUP(Tabla5[[#This Row],[Producto 28]],Tabla3[[Nombre]:[Ud]],5,FALSE)*Tabla5[[#This Row],[Cantidad 28]],0)</f>
        <v>0</v>
      </c>
      <c r="CP30" s="1">
        <f>IFERROR(VLOOKUP(Tabla5[[#This Row],[Producto 29]],Tabla3[[Nombre]:[Ud]],5,FALSE)*Tabla5[[#This Row],[Cantidad 29]],0)</f>
        <v>0</v>
      </c>
      <c r="CS30" s="1">
        <f>IFERROR(VLOOKUP(Tabla5[[#This Row],[Producto 30]],Tabla3[[Nombre]:[Ud]],5,FALSE)*Tabla5[[#This Row],[Cantidad 30]],0)</f>
        <v>0</v>
      </c>
    </row>
    <row r="31" spans="1:97" x14ac:dyDescent="0.35">
      <c r="A31">
        <v>29</v>
      </c>
      <c r="D31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31" s="1">
        <f>Tabla5[[#This Row],[Minutos]]*Tabla13[[#Totals],[Precio Unitario]]</f>
        <v>0</v>
      </c>
      <c r="G31" s="1">
        <f>IFERROR(VLOOKUP(Tabla5[[#This Row],[Persona]],Tabla1[[Nombre]:[Ud]],7,FALSE) *Tabla5[[#This Row],[Minutos]],0)</f>
        <v>0</v>
      </c>
      <c r="J31" s="1">
        <f>IFERROR(VLOOKUP(Tabla5[[#This Row],[Producto 1]],Tabla3[[Nombre]:[Ud]],5,FALSE)*Tabla5[[#This Row],[Cantidad 1]],0)</f>
        <v>0</v>
      </c>
      <c r="M31" s="1">
        <f>IFERROR(VLOOKUP(Tabla5[[#This Row],[Producto 2]],Tabla3[[Nombre]:[Ud]],5,FALSE)*Tabla5[[#This Row],[Cantidad 2]],0)</f>
        <v>0</v>
      </c>
      <c r="P31" s="1">
        <f>IFERROR(VLOOKUP(Tabla5[[#This Row],[Producto 3]],Tabla3[[Nombre]:[Ud]],5,FALSE)*Tabla5[[#This Row],[Cantidad 3]],0)</f>
        <v>0</v>
      </c>
      <c r="S31" s="1">
        <f>IFERROR(VLOOKUP(Tabla5[[#This Row],[Producto 4]],Tabla3[[Nombre]:[Ud]],5,FALSE)*Tabla5[[#This Row],[Cantidad 4]],0)</f>
        <v>0</v>
      </c>
      <c r="V31" s="1">
        <f>IFERROR(VLOOKUP(Tabla5[[#This Row],[Producto 5]],Tabla3[[Nombre]:[Ud]],5,FALSE)*Tabla5[[#This Row],[Cantidad 5]],0)</f>
        <v>0</v>
      </c>
      <c r="Y31" s="1">
        <f>IFERROR(VLOOKUP(Tabla5[[#This Row],[Producto 6]],Tabla3[[Nombre]:[Ud]],5,FALSE)*Tabla5[[#This Row],[Cantidad 6]],0)</f>
        <v>0</v>
      </c>
      <c r="AB31" s="1">
        <f>IFERROR(VLOOKUP(Tabla5[[#This Row],[Producto 7]],Tabla3[[Nombre]:[Ud]],5,FALSE)*Tabla5[[#This Row],[Cantidad 7]],0)</f>
        <v>0</v>
      </c>
      <c r="AE31" s="1">
        <f>IFERROR(VLOOKUP(Tabla5[[#This Row],[Producto 8]],Tabla3[[Nombre]:[Ud]],5,FALSE)*Tabla5[[#This Row],[Cantidad 8]],0)</f>
        <v>0</v>
      </c>
      <c r="AH31" s="1">
        <f>IFERROR(VLOOKUP(Tabla5[[#This Row],[Producto 9]],Tabla3[[Nombre]:[Ud]],5,FALSE)*Tabla5[[#This Row],[Cantidad 9]],0)</f>
        <v>0</v>
      </c>
      <c r="AK31" s="1">
        <f>IFERROR(VLOOKUP(Tabla5[[#This Row],[Producto 10]],Tabla3[[Nombre]:[Ud]],5,FALSE)*Tabla5[[#This Row],[Cantidad 10]],0)</f>
        <v>0</v>
      </c>
      <c r="AN31" s="1">
        <f>IFERROR(VLOOKUP(Tabla5[[#This Row],[Producto 11]],Tabla3[[Nombre]:[Ud]],5,FALSE)*Tabla5[[#This Row],[Cantidad 11]],0)</f>
        <v>0</v>
      </c>
      <c r="AQ31" s="1">
        <f>IFERROR(VLOOKUP(Tabla5[[#This Row],[Producto 12]],Tabla3[[Nombre]:[Ud]],5,FALSE)*Tabla5[[#This Row],[Cantidad 12]],0)</f>
        <v>0</v>
      </c>
      <c r="AT31" s="1">
        <f>IFERROR(VLOOKUP(Tabla5[[#This Row],[Producto 13]],Tabla3[[Nombre]:[Ud]],5,FALSE)*Tabla5[[#This Row],[Cantidad 13]],0)</f>
        <v>0</v>
      </c>
      <c r="AW31" s="1">
        <f>IFERROR(VLOOKUP(Tabla5[[#This Row],[Producto 14]],Tabla3[[Nombre]:[Ud]],5,FALSE)*Tabla5[[#This Row],[Cantidad 14]],0)</f>
        <v>0</v>
      </c>
      <c r="AZ31" s="1">
        <f>IFERROR(VLOOKUP(Tabla5[[#This Row],[Producto 15]],Tabla3[[Nombre]:[Ud]],5,FALSE)*Tabla5[[#This Row],[Cantidad 15]],0)</f>
        <v>0</v>
      </c>
      <c r="BC31" s="1">
        <f>IFERROR(VLOOKUP(Tabla5[[#This Row],[Producto 16]],Tabla3[[Nombre]:[Ud]],5,FALSE)*Tabla5[[#This Row],[Cantidad 16]],0)</f>
        <v>0</v>
      </c>
      <c r="BF31" s="1">
        <f>IFERROR(VLOOKUP(Tabla5[[#This Row],[Producto 17]],Tabla3[[Nombre]:[Ud]],5,FALSE)*Tabla5[[#This Row],[Cantidad 17]],0)</f>
        <v>0</v>
      </c>
      <c r="BI31" s="1">
        <f>IFERROR(VLOOKUP(Tabla5[[#This Row],[Producto 18]],Tabla3[[Nombre]:[Ud]],5,FALSE)*Tabla5[[#This Row],[Cantidad 18]],0)</f>
        <v>0</v>
      </c>
      <c r="BL31" s="1">
        <f>IFERROR(VLOOKUP(Tabla5[[#This Row],[Producto 19]],Tabla3[[Nombre]:[Ud]],5,FALSE)*Tabla5[[#This Row],[Cantidad 19]],0)</f>
        <v>0</v>
      </c>
      <c r="BO31" s="1">
        <f>IFERROR(VLOOKUP(Tabla5[[#This Row],[Producto 20]],Tabla3[[Nombre]:[Ud]],5,FALSE)*Tabla5[[#This Row],[Cantidad 20]],0)</f>
        <v>0</v>
      </c>
      <c r="BR31" s="1">
        <f>IFERROR(VLOOKUP(Tabla5[[#This Row],[Producto 21]],Tabla3[[Nombre]:[Ud]],5,FALSE)*Tabla5[[#This Row],[Cantidad 21]],0)</f>
        <v>0</v>
      </c>
      <c r="BU31" s="1">
        <f>IFERROR(VLOOKUP(Tabla5[[#This Row],[Producto 22]],Tabla3[[Nombre]:[Ud]],5,FALSE)*Tabla5[[#This Row],[Cantidad 22]],0)</f>
        <v>0</v>
      </c>
      <c r="BX31" s="1">
        <f>IFERROR(VLOOKUP(Tabla5[[#This Row],[Producto 23]],Tabla3[[Nombre]:[Ud]],5,FALSE)*Tabla5[[#This Row],[Cantidad 23]],0)</f>
        <v>0</v>
      </c>
      <c r="CA31" s="1">
        <f>IFERROR(VLOOKUP(Tabla5[[#This Row],[Producto 24]],Tabla3[[Nombre]:[Ud]],5,FALSE)*Tabla5[[#This Row],[Cantidad 24]],0)</f>
        <v>0</v>
      </c>
      <c r="CD31" s="1">
        <f>IFERROR(VLOOKUP(Tabla5[[#This Row],[Producto 25]],Tabla3[[Nombre]:[Ud]],5,FALSE)*Tabla5[[#This Row],[Cantidad 25]],0)</f>
        <v>0</v>
      </c>
      <c r="CG31" s="1">
        <f>IFERROR(VLOOKUP(Tabla5[[#This Row],[Producto 26]],Tabla3[[Nombre]:[Ud]],5,FALSE)*Tabla5[[#This Row],[Cantidad 26]],0)</f>
        <v>0</v>
      </c>
      <c r="CJ31" s="1">
        <f>IFERROR(VLOOKUP(Tabla5[[#This Row],[Producto 27]],Tabla3[[Nombre]:[Ud]],5,FALSE)*Tabla5[[#This Row],[Cantidad 27]],0)</f>
        <v>0</v>
      </c>
      <c r="CM31" s="1">
        <f>IFERROR(VLOOKUP(Tabla5[[#This Row],[Producto 28]],Tabla3[[Nombre]:[Ud]],5,FALSE)*Tabla5[[#This Row],[Cantidad 28]],0)</f>
        <v>0</v>
      </c>
      <c r="CP31" s="1">
        <f>IFERROR(VLOOKUP(Tabla5[[#This Row],[Producto 29]],Tabla3[[Nombre]:[Ud]],5,FALSE)*Tabla5[[#This Row],[Cantidad 29]],0)</f>
        <v>0</v>
      </c>
      <c r="CS31" s="1">
        <f>IFERROR(VLOOKUP(Tabla5[[#This Row],[Producto 30]],Tabla3[[Nombre]:[Ud]],5,FALSE)*Tabla5[[#This Row],[Cantidad 30]],0)</f>
        <v>0</v>
      </c>
    </row>
    <row r="32" spans="1:97" x14ac:dyDescent="0.35">
      <c r="A32">
        <v>30</v>
      </c>
      <c r="D32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32" s="1">
        <f>Tabla5[[#This Row],[Minutos]]*Tabla13[[#Totals],[Precio Unitario]]</f>
        <v>0</v>
      </c>
      <c r="G32" s="1">
        <f>IFERROR(VLOOKUP(Tabla5[[#This Row],[Persona]],Tabla1[[Nombre]:[Ud]],7,FALSE) *Tabla5[[#This Row],[Minutos]],0)</f>
        <v>0</v>
      </c>
      <c r="J32" s="1">
        <f>IFERROR(VLOOKUP(Tabla5[[#This Row],[Producto 1]],Tabla3[[Nombre]:[Ud]],5,FALSE)*Tabla5[[#This Row],[Cantidad 1]],0)</f>
        <v>0</v>
      </c>
      <c r="M32" s="1">
        <f>IFERROR(VLOOKUP(Tabla5[[#This Row],[Producto 2]],Tabla3[[Nombre]:[Ud]],5,FALSE)*Tabla5[[#This Row],[Cantidad 2]],0)</f>
        <v>0</v>
      </c>
      <c r="P32" s="1">
        <f>IFERROR(VLOOKUP(Tabla5[[#This Row],[Producto 3]],Tabla3[[Nombre]:[Ud]],5,FALSE)*Tabla5[[#This Row],[Cantidad 3]],0)</f>
        <v>0</v>
      </c>
      <c r="S32" s="1">
        <f>IFERROR(VLOOKUP(Tabla5[[#This Row],[Producto 4]],Tabla3[[Nombre]:[Ud]],5,FALSE)*Tabla5[[#This Row],[Cantidad 4]],0)</f>
        <v>0</v>
      </c>
      <c r="V32" s="1">
        <f>IFERROR(VLOOKUP(Tabla5[[#This Row],[Producto 5]],Tabla3[[Nombre]:[Ud]],5,FALSE)*Tabla5[[#This Row],[Cantidad 5]],0)</f>
        <v>0</v>
      </c>
      <c r="Y32" s="1">
        <f>IFERROR(VLOOKUP(Tabla5[[#This Row],[Producto 6]],Tabla3[[Nombre]:[Ud]],5,FALSE)*Tabla5[[#This Row],[Cantidad 6]],0)</f>
        <v>0</v>
      </c>
      <c r="AB32" s="1">
        <f>IFERROR(VLOOKUP(Tabla5[[#This Row],[Producto 7]],Tabla3[[Nombre]:[Ud]],5,FALSE)*Tabla5[[#This Row],[Cantidad 7]],0)</f>
        <v>0</v>
      </c>
      <c r="AE32" s="1">
        <f>IFERROR(VLOOKUP(Tabla5[[#This Row],[Producto 8]],Tabla3[[Nombre]:[Ud]],5,FALSE)*Tabla5[[#This Row],[Cantidad 8]],0)</f>
        <v>0</v>
      </c>
      <c r="AH32" s="1">
        <f>IFERROR(VLOOKUP(Tabla5[[#This Row],[Producto 9]],Tabla3[[Nombre]:[Ud]],5,FALSE)*Tabla5[[#This Row],[Cantidad 9]],0)</f>
        <v>0</v>
      </c>
      <c r="AK32" s="1">
        <f>IFERROR(VLOOKUP(Tabla5[[#This Row],[Producto 10]],Tabla3[[Nombre]:[Ud]],5,FALSE)*Tabla5[[#This Row],[Cantidad 10]],0)</f>
        <v>0</v>
      </c>
      <c r="AN32" s="1">
        <f>IFERROR(VLOOKUP(Tabla5[[#This Row],[Producto 11]],Tabla3[[Nombre]:[Ud]],5,FALSE)*Tabla5[[#This Row],[Cantidad 11]],0)</f>
        <v>0</v>
      </c>
      <c r="AQ32" s="1">
        <f>IFERROR(VLOOKUP(Tabla5[[#This Row],[Producto 12]],Tabla3[[Nombre]:[Ud]],5,FALSE)*Tabla5[[#This Row],[Cantidad 12]],0)</f>
        <v>0</v>
      </c>
      <c r="AT32" s="1">
        <f>IFERROR(VLOOKUP(Tabla5[[#This Row],[Producto 13]],Tabla3[[Nombre]:[Ud]],5,FALSE)*Tabla5[[#This Row],[Cantidad 13]],0)</f>
        <v>0</v>
      </c>
      <c r="AW32" s="1">
        <f>IFERROR(VLOOKUP(Tabla5[[#This Row],[Producto 14]],Tabla3[[Nombre]:[Ud]],5,FALSE)*Tabla5[[#This Row],[Cantidad 14]],0)</f>
        <v>0</v>
      </c>
      <c r="AZ32" s="1">
        <f>IFERROR(VLOOKUP(Tabla5[[#This Row],[Producto 15]],Tabla3[[Nombre]:[Ud]],5,FALSE)*Tabla5[[#This Row],[Cantidad 15]],0)</f>
        <v>0</v>
      </c>
      <c r="BC32" s="1">
        <f>IFERROR(VLOOKUP(Tabla5[[#This Row],[Producto 16]],Tabla3[[Nombre]:[Ud]],5,FALSE)*Tabla5[[#This Row],[Cantidad 16]],0)</f>
        <v>0</v>
      </c>
      <c r="BF32" s="1">
        <f>IFERROR(VLOOKUP(Tabla5[[#This Row],[Producto 17]],Tabla3[[Nombre]:[Ud]],5,FALSE)*Tabla5[[#This Row],[Cantidad 17]],0)</f>
        <v>0</v>
      </c>
      <c r="BI32" s="1">
        <f>IFERROR(VLOOKUP(Tabla5[[#This Row],[Producto 18]],Tabla3[[Nombre]:[Ud]],5,FALSE)*Tabla5[[#This Row],[Cantidad 18]],0)</f>
        <v>0</v>
      </c>
      <c r="BL32" s="1">
        <f>IFERROR(VLOOKUP(Tabla5[[#This Row],[Producto 19]],Tabla3[[Nombre]:[Ud]],5,FALSE)*Tabla5[[#This Row],[Cantidad 19]],0)</f>
        <v>0</v>
      </c>
      <c r="BO32" s="1">
        <f>IFERROR(VLOOKUP(Tabla5[[#This Row],[Producto 20]],Tabla3[[Nombre]:[Ud]],5,FALSE)*Tabla5[[#This Row],[Cantidad 20]],0)</f>
        <v>0</v>
      </c>
      <c r="BR32" s="1">
        <f>IFERROR(VLOOKUP(Tabla5[[#This Row],[Producto 21]],Tabla3[[Nombre]:[Ud]],5,FALSE)*Tabla5[[#This Row],[Cantidad 21]],0)</f>
        <v>0</v>
      </c>
      <c r="BU32" s="1">
        <f>IFERROR(VLOOKUP(Tabla5[[#This Row],[Producto 22]],Tabla3[[Nombre]:[Ud]],5,FALSE)*Tabla5[[#This Row],[Cantidad 22]],0)</f>
        <v>0</v>
      </c>
      <c r="BX32" s="1">
        <f>IFERROR(VLOOKUP(Tabla5[[#This Row],[Producto 23]],Tabla3[[Nombre]:[Ud]],5,FALSE)*Tabla5[[#This Row],[Cantidad 23]],0)</f>
        <v>0</v>
      </c>
      <c r="CA32" s="1">
        <f>IFERROR(VLOOKUP(Tabla5[[#This Row],[Producto 24]],Tabla3[[Nombre]:[Ud]],5,FALSE)*Tabla5[[#This Row],[Cantidad 24]],0)</f>
        <v>0</v>
      </c>
      <c r="CD32" s="1">
        <f>IFERROR(VLOOKUP(Tabla5[[#This Row],[Producto 25]],Tabla3[[Nombre]:[Ud]],5,FALSE)*Tabla5[[#This Row],[Cantidad 25]],0)</f>
        <v>0</v>
      </c>
      <c r="CG32" s="1">
        <f>IFERROR(VLOOKUP(Tabla5[[#This Row],[Producto 26]],Tabla3[[Nombre]:[Ud]],5,FALSE)*Tabla5[[#This Row],[Cantidad 26]],0)</f>
        <v>0</v>
      </c>
      <c r="CJ32" s="1">
        <f>IFERROR(VLOOKUP(Tabla5[[#This Row],[Producto 27]],Tabla3[[Nombre]:[Ud]],5,FALSE)*Tabla5[[#This Row],[Cantidad 27]],0)</f>
        <v>0</v>
      </c>
      <c r="CM32" s="1">
        <f>IFERROR(VLOOKUP(Tabla5[[#This Row],[Producto 28]],Tabla3[[Nombre]:[Ud]],5,FALSE)*Tabla5[[#This Row],[Cantidad 28]],0)</f>
        <v>0</v>
      </c>
      <c r="CP32" s="1">
        <f>IFERROR(VLOOKUP(Tabla5[[#This Row],[Producto 29]],Tabla3[[Nombre]:[Ud]],5,FALSE)*Tabla5[[#This Row],[Cantidad 29]],0)</f>
        <v>0</v>
      </c>
      <c r="CS32" s="1">
        <f>IFERROR(VLOOKUP(Tabla5[[#This Row],[Producto 30]],Tabla3[[Nombre]:[Ud]],5,FALSE)*Tabla5[[#This Row],[Cantidad 30]],0)</f>
        <v>0</v>
      </c>
    </row>
    <row r="33" spans="1:97" x14ac:dyDescent="0.35">
      <c r="A33">
        <v>31</v>
      </c>
      <c r="D33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33" s="1">
        <f>Tabla5[[#This Row],[Minutos]]*Tabla13[[#Totals],[Precio Unitario]]</f>
        <v>0</v>
      </c>
      <c r="G33" s="1">
        <f>IFERROR(VLOOKUP(Tabla5[[#This Row],[Persona]],Tabla1[[Nombre]:[Ud]],7,FALSE) *Tabla5[[#This Row],[Minutos]],0)</f>
        <v>0</v>
      </c>
      <c r="J33" s="1">
        <f>IFERROR(VLOOKUP(Tabla5[[#This Row],[Producto 1]],Tabla3[[Nombre]:[Ud]],5,FALSE)*Tabla5[[#This Row],[Cantidad 1]],0)</f>
        <v>0</v>
      </c>
      <c r="M33" s="1">
        <f>IFERROR(VLOOKUP(Tabla5[[#This Row],[Producto 2]],Tabla3[[Nombre]:[Ud]],5,FALSE)*Tabla5[[#This Row],[Cantidad 2]],0)</f>
        <v>0</v>
      </c>
      <c r="P33" s="1">
        <f>IFERROR(VLOOKUP(Tabla5[[#This Row],[Producto 3]],Tabla3[[Nombre]:[Ud]],5,FALSE)*Tabla5[[#This Row],[Cantidad 3]],0)</f>
        <v>0</v>
      </c>
      <c r="S33" s="1">
        <f>IFERROR(VLOOKUP(Tabla5[[#This Row],[Producto 4]],Tabla3[[Nombre]:[Ud]],5,FALSE)*Tabla5[[#This Row],[Cantidad 4]],0)</f>
        <v>0</v>
      </c>
      <c r="V33" s="1">
        <f>IFERROR(VLOOKUP(Tabla5[[#This Row],[Producto 5]],Tabla3[[Nombre]:[Ud]],5,FALSE)*Tabla5[[#This Row],[Cantidad 5]],0)</f>
        <v>0</v>
      </c>
      <c r="Y33" s="1">
        <f>IFERROR(VLOOKUP(Tabla5[[#This Row],[Producto 6]],Tabla3[[Nombre]:[Ud]],5,FALSE)*Tabla5[[#This Row],[Cantidad 6]],0)</f>
        <v>0</v>
      </c>
      <c r="AB33" s="1">
        <f>IFERROR(VLOOKUP(Tabla5[[#This Row],[Producto 7]],Tabla3[[Nombre]:[Ud]],5,FALSE)*Tabla5[[#This Row],[Cantidad 7]],0)</f>
        <v>0</v>
      </c>
      <c r="AE33" s="1">
        <f>IFERROR(VLOOKUP(Tabla5[[#This Row],[Producto 8]],Tabla3[[Nombre]:[Ud]],5,FALSE)*Tabla5[[#This Row],[Cantidad 8]],0)</f>
        <v>0</v>
      </c>
      <c r="AH33" s="1">
        <f>IFERROR(VLOOKUP(Tabla5[[#This Row],[Producto 9]],Tabla3[[Nombre]:[Ud]],5,FALSE)*Tabla5[[#This Row],[Cantidad 9]],0)</f>
        <v>0</v>
      </c>
      <c r="AK33" s="1">
        <f>IFERROR(VLOOKUP(Tabla5[[#This Row],[Producto 10]],Tabla3[[Nombre]:[Ud]],5,FALSE)*Tabla5[[#This Row],[Cantidad 10]],0)</f>
        <v>0</v>
      </c>
      <c r="AN33" s="1">
        <f>IFERROR(VLOOKUP(Tabla5[[#This Row],[Producto 11]],Tabla3[[Nombre]:[Ud]],5,FALSE)*Tabla5[[#This Row],[Cantidad 11]],0)</f>
        <v>0</v>
      </c>
      <c r="AQ33" s="1">
        <f>IFERROR(VLOOKUP(Tabla5[[#This Row],[Producto 12]],Tabla3[[Nombre]:[Ud]],5,FALSE)*Tabla5[[#This Row],[Cantidad 12]],0)</f>
        <v>0</v>
      </c>
      <c r="AT33" s="1">
        <f>IFERROR(VLOOKUP(Tabla5[[#This Row],[Producto 13]],Tabla3[[Nombre]:[Ud]],5,FALSE)*Tabla5[[#This Row],[Cantidad 13]],0)</f>
        <v>0</v>
      </c>
      <c r="AW33" s="1">
        <f>IFERROR(VLOOKUP(Tabla5[[#This Row],[Producto 14]],Tabla3[[Nombre]:[Ud]],5,FALSE)*Tabla5[[#This Row],[Cantidad 14]],0)</f>
        <v>0</v>
      </c>
      <c r="AZ33" s="1">
        <f>IFERROR(VLOOKUP(Tabla5[[#This Row],[Producto 15]],Tabla3[[Nombre]:[Ud]],5,FALSE)*Tabla5[[#This Row],[Cantidad 15]],0)</f>
        <v>0</v>
      </c>
      <c r="BC33" s="1">
        <f>IFERROR(VLOOKUP(Tabla5[[#This Row],[Producto 16]],Tabla3[[Nombre]:[Ud]],5,FALSE)*Tabla5[[#This Row],[Cantidad 16]],0)</f>
        <v>0</v>
      </c>
      <c r="BF33" s="1">
        <f>IFERROR(VLOOKUP(Tabla5[[#This Row],[Producto 17]],Tabla3[[Nombre]:[Ud]],5,FALSE)*Tabla5[[#This Row],[Cantidad 17]],0)</f>
        <v>0</v>
      </c>
      <c r="BI33" s="1">
        <f>IFERROR(VLOOKUP(Tabla5[[#This Row],[Producto 18]],Tabla3[[Nombre]:[Ud]],5,FALSE)*Tabla5[[#This Row],[Cantidad 18]],0)</f>
        <v>0</v>
      </c>
      <c r="BL33" s="1">
        <f>IFERROR(VLOOKUP(Tabla5[[#This Row],[Producto 19]],Tabla3[[Nombre]:[Ud]],5,FALSE)*Tabla5[[#This Row],[Cantidad 19]],0)</f>
        <v>0</v>
      </c>
      <c r="BO33" s="1">
        <f>IFERROR(VLOOKUP(Tabla5[[#This Row],[Producto 20]],Tabla3[[Nombre]:[Ud]],5,FALSE)*Tabla5[[#This Row],[Cantidad 20]],0)</f>
        <v>0</v>
      </c>
      <c r="BR33" s="1">
        <f>IFERROR(VLOOKUP(Tabla5[[#This Row],[Producto 21]],Tabla3[[Nombre]:[Ud]],5,FALSE)*Tabla5[[#This Row],[Cantidad 21]],0)</f>
        <v>0</v>
      </c>
      <c r="BU33" s="1">
        <f>IFERROR(VLOOKUP(Tabla5[[#This Row],[Producto 22]],Tabla3[[Nombre]:[Ud]],5,FALSE)*Tabla5[[#This Row],[Cantidad 22]],0)</f>
        <v>0</v>
      </c>
      <c r="BX33" s="1">
        <f>IFERROR(VLOOKUP(Tabla5[[#This Row],[Producto 23]],Tabla3[[Nombre]:[Ud]],5,FALSE)*Tabla5[[#This Row],[Cantidad 23]],0)</f>
        <v>0</v>
      </c>
      <c r="CA33" s="1">
        <f>IFERROR(VLOOKUP(Tabla5[[#This Row],[Producto 24]],Tabla3[[Nombre]:[Ud]],5,FALSE)*Tabla5[[#This Row],[Cantidad 24]],0)</f>
        <v>0</v>
      </c>
      <c r="CD33" s="1">
        <f>IFERROR(VLOOKUP(Tabla5[[#This Row],[Producto 25]],Tabla3[[Nombre]:[Ud]],5,FALSE)*Tabla5[[#This Row],[Cantidad 25]],0)</f>
        <v>0</v>
      </c>
      <c r="CG33" s="1">
        <f>IFERROR(VLOOKUP(Tabla5[[#This Row],[Producto 26]],Tabla3[[Nombre]:[Ud]],5,FALSE)*Tabla5[[#This Row],[Cantidad 26]],0)</f>
        <v>0</v>
      </c>
      <c r="CJ33" s="1">
        <f>IFERROR(VLOOKUP(Tabla5[[#This Row],[Producto 27]],Tabla3[[Nombre]:[Ud]],5,FALSE)*Tabla5[[#This Row],[Cantidad 27]],0)</f>
        <v>0</v>
      </c>
      <c r="CM33" s="1">
        <f>IFERROR(VLOOKUP(Tabla5[[#This Row],[Producto 28]],Tabla3[[Nombre]:[Ud]],5,FALSE)*Tabla5[[#This Row],[Cantidad 28]],0)</f>
        <v>0</v>
      </c>
      <c r="CP33" s="1">
        <f>IFERROR(VLOOKUP(Tabla5[[#This Row],[Producto 29]],Tabla3[[Nombre]:[Ud]],5,FALSE)*Tabla5[[#This Row],[Cantidad 29]],0)</f>
        <v>0</v>
      </c>
      <c r="CS33" s="1">
        <f>IFERROR(VLOOKUP(Tabla5[[#This Row],[Producto 30]],Tabla3[[Nombre]:[Ud]],5,FALSE)*Tabla5[[#This Row],[Cantidad 30]],0)</f>
        <v>0</v>
      </c>
    </row>
    <row r="34" spans="1:97" x14ac:dyDescent="0.35">
      <c r="A34">
        <v>32</v>
      </c>
      <c r="D34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34" s="1">
        <f>Tabla5[[#This Row],[Minutos]]*Tabla13[[#Totals],[Precio Unitario]]</f>
        <v>0</v>
      </c>
      <c r="G34" s="1">
        <f>IFERROR(VLOOKUP(Tabla5[[#This Row],[Persona]],Tabla1[[Nombre]:[Ud]],7,FALSE) *Tabla5[[#This Row],[Minutos]],0)</f>
        <v>0</v>
      </c>
      <c r="J34" s="1">
        <f>IFERROR(VLOOKUP(Tabla5[[#This Row],[Producto 1]],Tabla3[[Nombre]:[Ud]],5,FALSE)*Tabla5[[#This Row],[Cantidad 1]],0)</f>
        <v>0</v>
      </c>
      <c r="M34" s="1">
        <f>IFERROR(VLOOKUP(Tabla5[[#This Row],[Producto 2]],Tabla3[[Nombre]:[Ud]],5,FALSE)*Tabla5[[#This Row],[Cantidad 2]],0)</f>
        <v>0</v>
      </c>
      <c r="P34" s="1">
        <f>IFERROR(VLOOKUP(Tabla5[[#This Row],[Producto 3]],Tabla3[[Nombre]:[Ud]],5,FALSE)*Tabla5[[#This Row],[Cantidad 3]],0)</f>
        <v>0</v>
      </c>
      <c r="S34" s="1">
        <f>IFERROR(VLOOKUP(Tabla5[[#This Row],[Producto 4]],Tabla3[[Nombre]:[Ud]],5,FALSE)*Tabla5[[#This Row],[Cantidad 4]],0)</f>
        <v>0</v>
      </c>
      <c r="V34" s="1">
        <f>IFERROR(VLOOKUP(Tabla5[[#This Row],[Producto 5]],Tabla3[[Nombre]:[Ud]],5,FALSE)*Tabla5[[#This Row],[Cantidad 5]],0)</f>
        <v>0</v>
      </c>
      <c r="Y34" s="1">
        <f>IFERROR(VLOOKUP(Tabla5[[#This Row],[Producto 6]],Tabla3[[Nombre]:[Ud]],5,FALSE)*Tabla5[[#This Row],[Cantidad 6]],0)</f>
        <v>0</v>
      </c>
      <c r="AB34" s="1">
        <f>IFERROR(VLOOKUP(Tabla5[[#This Row],[Producto 7]],Tabla3[[Nombre]:[Ud]],5,FALSE)*Tabla5[[#This Row],[Cantidad 7]],0)</f>
        <v>0</v>
      </c>
      <c r="AE34" s="1">
        <f>IFERROR(VLOOKUP(Tabla5[[#This Row],[Producto 8]],Tabla3[[Nombre]:[Ud]],5,FALSE)*Tabla5[[#This Row],[Cantidad 8]],0)</f>
        <v>0</v>
      </c>
      <c r="AH34" s="1">
        <f>IFERROR(VLOOKUP(Tabla5[[#This Row],[Producto 9]],Tabla3[[Nombre]:[Ud]],5,FALSE)*Tabla5[[#This Row],[Cantidad 9]],0)</f>
        <v>0</v>
      </c>
      <c r="AK34" s="1">
        <f>IFERROR(VLOOKUP(Tabla5[[#This Row],[Producto 10]],Tabla3[[Nombre]:[Ud]],5,FALSE)*Tabla5[[#This Row],[Cantidad 10]],0)</f>
        <v>0</v>
      </c>
      <c r="AN34" s="1">
        <f>IFERROR(VLOOKUP(Tabla5[[#This Row],[Producto 11]],Tabla3[[Nombre]:[Ud]],5,FALSE)*Tabla5[[#This Row],[Cantidad 11]],0)</f>
        <v>0</v>
      </c>
      <c r="AQ34" s="1">
        <f>IFERROR(VLOOKUP(Tabla5[[#This Row],[Producto 12]],Tabla3[[Nombre]:[Ud]],5,FALSE)*Tabla5[[#This Row],[Cantidad 12]],0)</f>
        <v>0</v>
      </c>
      <c r="AT34" s="1">
        <f>IFERROR(VLOOKUP(Tabla5[[#This Row],[Producto 13]],Tabla3[[Nombre]:[Ud]],5,FALSE)*Tabla5[[#This Row],[Cantidad 13]],0)</f>
        <v>0</v>
      </c>
      <c r="AW34" s="1">
        <f>IFERROR(VLOOKUP(Tabla5[[#This Row],[Producto 14]],Tabla3[[Nombre]:[Ud]],5,FALSE)*Tabla5[[#This Row],[Cantidad 14]],0)</f>
        <v>0</v>
      </c>
      <c r="AZ34" s="1">
        <f>IFERROR(VLOOKUP(Tabla5[[#This Row],[Producto 15]],Tabla3[[Nombre]:[Ud]],5,FALSE)*Tabla5[[#This Row],[Cantidad 15]],0)</f>
        <v>0</v>
      </c>
      <c r="BC34" s="1">
        <f>IFERROR(VLOOKUP(Tabla5[[#This Row],[Producto 16]],Tabla3[[Nombre]:[Ud]],5,FALSE)*Tabla5[[#This Row],[Cantidad 16]],0)</f>
        <v>0</v>
      </c>
      <c r="BF34" s="1">
        <f>IFERROR(VLOOKUP(Tabla5[[#This Row],[Producto 17]],Tabla3[[Nombre]:[Ud]],5,FALSE)*Tabla5[[#This Row],[Cantidad 17]],0)</f>
        <v>0</v>
      </c>
      <c r="BI34" s="1">
        <f>IFERROR(VLOOKUP(Tabla5[[#This Row],[Producto 18]],Tabla3[[Nombre]:[Ud]],5,FALSE)*Tabla5[[#This Row],[Cantidad 18]],0)</f>
        <v>0</v>
      </c>
      <c r="BL34" s="1">
        <f>IFERROR(VLOOKUP(Tabla5[[#This Row],[Producto 19]],Tabla3[[Nombre]:[Ud]],5,FALSE)*Tabla5[[#This Row],[Cantidad 19]],0)</f>
        <v>0</v>
      </c>
      <c r="BO34" s="1">
        <f>IFERROR(VLOOKUP(Tabla5[[#This Row],[Producto 20]],Tabla3[[Nombre]:[Ud]],5,FALSE)*Tabla5[[#This Row],[Cantidad 20]],0)</f>
        <v>0</v>
      </c>
      <c r="BR34" s="1">
        <f>IFERROR(VLOOKUP(Tabla5[[#This Row],[Producto 21]],Tabla3[[Nombre]:[Ud]],5,FALSE)*Tabla5[[#This Row],[Cantidad 21]],0)</f>
        <v>0</v>
      </c>
      <c r="BU34" s="1">
        <f>IFERROR(VLOOKUP(Tabla5[[#This Row],[Producto 22]],Tabla3[[Nombre]:[Ud]],5,FALSE)*Tabla5[[#This Row],[Cantidad 22]],0)</f>
        <v>0</v>
      </c>
      <c r="BX34" s="1">
        <f>IFERROR(VLOOKUP(Tabla5[[#This Row],[Producto 23]],Tabla3[[Nombre]:[Ud]],5,FALSE)*Tabla5[[#This Row],[Cantidad 23]],0)</f>
        <v>0</v>
      </c>
      <c r="CA34" s="1">
        <f>IFERROR(VLOOKUP(Tabla5[[#This Row],[Producto 24]],Tabla3[[Nombre]:[Ud]],5,FALSE)*Tabla5[[#This Row],[Cantidad 24]],0)</f>
        <v>0</v>
      </c>
      <c r="CD34" s="1">
        <f>IFERROR(VLOOKUP(Tabla5[[#This Row],[Producto 25]],Tabla3[[Nombre]:[Ud]],5,FALSE)*Tabla5[[#This Row],[Cantidad 25]],0)</f>
        <v>0</v>
      </c>
      <c r="CG34" s="1">
        <f>IFERROR(VLOOKUP(Tabla5[[#This Row],[Producto 26]],Tabla3[[Nombre]:[Ud]],5,FALSE)*Tabla5[[#This Row],[Cantidad 26]],0)</f>
        <v>0</v>
      </c>
      <c r="CJ34" s="1">
        <f>IFERROR(VLOOKUP(Tabla5[[#This Row],[Producto 27]],Tabla3[[Nombre]:[Ud]],5,FALSE)*Tabla5[[#This Row],[Cantidad 27]],0)</f>
        <v>0</v>
      </c>
      <c r="CM34" s="1">
        <f>IFERROR(VLOOKUP(Tabla5[[#This Row],[Producto 28]],Tabla3[[Nombre]:[Ud]],5,FALSE)*Tabla5[[#This Row],[Cantidad 28]],0)</f>
        <v>0</v>
      </c>
      <c r="CP34" s="1">
        <f>IFERROR(VLOOKUP(Tabla5[[#This Row],[Producto 29]],Tabla3[[Nombre]:[Ud]],5,FALSE)*Tabla5[[#This Row],[Cantidad 29]],0)</f>
        <v>0</v>
      </c>
      <c r="CS34" s="1">
        <f>IFERROR(VLOOKUP(Tabla5[[#This Row],[Producto 30]],Tabla3[[Nombre]:[Ud]],5,FALSE)*Tabla5[[#This Row],[Cantidad 30]],0)</f>
        <v>0</v>
      </c>
    </row>
    <row r="35" spans="1:97" x14ac:dyDescent="0.35">
      <c r="A35">
        <v>33</v>
      </c>
      <c r="D35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35" s="1">
        <f>Tabla5[[#This Row],[Minutos]]*Tabla13[[#Totals],[Precio Unitario]]</f>
        <v>0</v>
      </c>
      <c r="G35" s="1">
        <f>IFERROR(VLOOKUP(Tabla5[[#This Row],[Persona]],Tabla1[[Nombre]:[Ud]],7,FALSE) *Tabla5[[#This Row],[Minutos]],0)</f>
        <v>0</v>
      </c>
      <c r="J35" s="1">
        <f>IFERROR(VLOOKUP(Tabla5[[#This Row],[Producto 1]],Tabla3[[Nombre]:[Ud]],5,FALSE)*Tabla5[[#This Row],[Cantidad 1]],0)</f>
        <v>0</v>
      </c>
      <c r="M35" s="1">
        <f>IFERROR(VLOOKUP(Tabla5[[#This Row],[Producto 2]],Tabla3[[Nombre]:[Ud]],5,FALSE)*Tabla5[[#This Row],[Cantidad 2]],0)</f>
        <v>0</v>
      </c>
      <c r="P35" s="1">
        <f>IFERROR(VLOOKUP(Tabla5[[#This Row],[Producto 3]],Tabla3[[Nombre]:[Ud]],5,FALSE)*Tabla5[[#This Row],[Cantidad 3]],0)</f>
        <v>0</v>
      </c>
      <c r="S35" s="1">
        <f>IFERROR(VLOOKUP(Tabla5[[#This Row],[Producto 4]],Tabla3[[Nombre]:[Ud]],5,FALSE)*Tabla5[[#This Row],[Cantidad 4]],0)</f>
        <v>0</v>
      </c>
      <c r="V35" s="1">
        <f>IFERROR(VLOOKUP(Tabla5[[#This Row],[Producto 5]],Tabla3[[Nombre]:[Ud]],5,FALSE)*Tabla5[[#This Row],[Cantidad 5]],0)</f>
        <v>0</v>
      </c>
      <c r="Y35" s="1">
        <f>IFERROR(VLOOKUP(Tabla5[[#This Row],[Producto 6]],Tabla3[[Nombre]:[Ud]],5,FALSE)*Tabla5[[#This Row],[Cantidad 6]],0)</f>
        <v>0</v>
      </c>
      <c r="AB35" s="1">
        <f>IFERROR(VLOOKUP(Tabla5[[#This Row],[Producto 7]],Tabla3[[Nombre]:[Ud]],5,FALSE)*Tabla5[[#This Row],[Cantidad 7]],0)</f>
        <v>0</v>
      </c>
      <c r="AE35" s="1">
        <f>IFERROR(VLOOKUP(Tabla5[[#This Row],[Producto 8]],Tabla3[[Nombre]:[Ud]],5,FALSE)*Tabla5[[#This Row],[Cantidad 8]],0)</f>
        <v>0</v>
      </c>
      <c r="AH35" s="1">
        <f>IFERROR(VLOOKUP(Tabla5[[#This Row],[Producto 9]],Tabla3[[Nombre]:[Ud]],5,FALSE)*Tabla5[[#This Row],[Cantidad 9]],0)</f>
        <v>0</v>
      </c>
      <c r="AK35" s="1">
        <f>IFERROR(VLOOKUP(Tabla5[[#This Row],[Producto 10]],Tabla3[[Nombre]:[Ud]],5,FALSE)*Tabla5[[#This Row],[Cantidad 10]],0)</f>
        <v>0</v>
      </c>
      <c r="AN35" s="1">
        <f>IFERROR(VLOOKUP(Tabla5[[#This Row],[Producto 11]],Tabla3[[Nombre]:[Ud]],5,FALSE)*Tabla5[[#This Row],[Cantidad 11]],0)</f>
        <v>0</v>
      </c>
      <c r="AQ35" s="1">
        <f>IFERROR(VLOOKUP(Tabla5[[#This Row],[Producto 12]],Tabla3[[Nombre]:[Ud]],5,FALSE)*Tabla5[[#This Row],[Cantidad 12]],0)</f>
        <v>0</v>
      </c>
      <c r="AT35" s="1">
        <f>IFERROR(VLOOKUP(Tabla5[[#This Row],[Producto 13]],Tabla3[[Nombre]:[Ud]],5,FALSE)*Tabla5[[#This Row],[Cantidad 13]],0)</f>
        <v>0</v>
      </c>
      <c r="AW35" s="1">
        <f>IFERROR(VLOOKUP(Tabla5[[#This Row],[Producto 14]],Tabla3[[Nombre]:[Ud]],5,FALSE)*Tabla5[[#This Row],[Cantidad 14]],0)</f>
        <v>0</v>
      </c>
      <c r="AZ35" s="1">
        <f>IFERROR(VLOOKUP(Tabla5[[#This Row],[Producto 15]],Tabla3[[Nombre]:[Ud]],5,FALSE)*Tabla5[[#This Row],[Cantidad 15]],0)</f>
        <v>0</v>
      </c>
      <c r="BC35" s="1">
        <f>IFERROR(VLOOKUP(Tabla5[[#This Row],[Producto 16]],Tabla3[[Nombre]:[Ud]],5,FALSE)*Tabla5[[#This Row],[Cantidad 16]],0)</f>
        <v>0</v>
      </c>
      <c r="BF35" s="1">
        <f>IFERROR(VLOOKUP(Tabla5[[#This Row],[Producto 17]],Tabla3[[Nombre]:[Ud]],5,FALSE)*Tabla5[[#This Row],[Cantidad 17]],0)</f>
        <v>0</v>
      </c>
      <c r="BI35" s="1">
        <f>IFERROR(VLOOKUP(Tabla5[[#This Row],[Producto 18]],Tabla3[[Nombre]:[Ud]],5,FALSE)*Tabla5[[#This Row],[Cantidad 18]],0)</f>
        <v>0</v>
      </c>
      <c r="BL35" s="1">
        <f>IFERROR(VLOOKUP(Tabla5[[#This Row],[Producto 19]],Tabla3[[Nombre]:[Ud]],5,FALSE)*Tabla5[[#This Row],[Cantidad 19]],0)</f>
        <v>0</v>
      </c>
      <c r="BO35" s="1">
        <f>IFERROR(VLOOKUP(Tabla5[[#This Row],[Producto 20]],Tabla3[[Nombre]:[Ud]],5,FALSE)*Tabla5[[#This Row],[Cantidad 20]],0)</f>
        <v>0</v>
      </c>
      <c r="BR35" s="1">
        <f>IFERROR(VLOOKUP(Tabla5[[#This Row],[Producto 21]],Tabla3[[Nombre]:[Ud]],5,FALSE)*Tabla5[[#This Row],[Cantidad 21]],0)</f>
        <v>0</v>
      </c>
      <c r="BU35" s="1">
        <f>IFERROR(VLOOKUP(Tabla5[[#This Row],[Producto 22]],Tabla3[[Nombre]:[Ud]],5,FALSE)*Tabla5[[#This Row],[Cantidad 22]],0)</f>
        <v>0</v>
      </c>
      <c r="BX35" s="1">
        <f>IFERROR(VLOOKUP(Tabla5[[#This Row],[Producto 23]],Tabla3[[Nombre]:[Ud]],5,FALSE)*Tabla5[[#This Row],[Cantidad 23]],0)</f>
        <v>0</v>
      </c>
      <c r="CA35" s="1">
        <f>IFERROR(VLOOKUP(Tabla5[[#This Row],[Producto 24]],Tabla3[[Nombre]:[Ud]],5,FALSE)*Tabla5[[#This Row],[Cantidad 24]],0)</f>
        <v>0</v>
      </c>
      <c r="CD35" s="1">
        <f>IFERROR(VLOOKUP(Tabla5[[#This Row],[Producto 25]],Tabla3[[Nombre]:[Ud]],5,FALSE)*Tabla5[[#This Row],[Cantidad 25]],0)</f>
        <v>0</v>
      </c>
      <c r="CG35" s="1">
        <f>IFERROR(VLOOKUP(Tabla5[[#This Row],[Producto 26]],Tabla3[[Nombre]:[Ud]],5,FALSE)*Tabla5[[#This Row],[Cantidad 26]],0)</f>
        <v>0</v>
      </c>
      <c r="CJ35" s="1">
        <f>IFERROR(VLOOKUP(Tabla5[[#This Row],[Producto 27]],Tabla3[[Nombre]:[Ud]],5,FALSE)*Tabla5[[#This Row],[Cantidad 27]],0)</f>
        <v>0</v>
      </c>
      <c r="CM35" s="1">
        <f>IFERROR(VLOOKUP(Tabla5[[#This Row],[Producto 28]],Tabla3[[Nombre]:[Ud]],5,FALSE)*Tabla5[[#This Row],[Cantidad 28]],0)</f>
        <v>0</v>
      </c>
      <c r="CP35" s="1">
        <f>IFERROR(VLOOKUP(Tabla5[[#This Row],[Producto 29]],Tabla3[[Nombre]:[Ud]],5,FALSE)*Tabla5[[#This Row],[Cantidad 29]],0)</f>
        <v>0</v>
      </c>
      <c r="CS35" s="1">
        <f>IFERROR(VLOOKUP(Tabla5[[#This Row],[Producto 30]],Tabla3[[Nombre]:[Ud]],5,FALSE)*Tabla5[[#This Row],[Cantidad 30]],0)</f>
        <v>0</v>
      </c>
    </row>
    <row r="36" spans="1:97" x14ac:dyDescent="0.35">
      <c r="A36">
        <v>34</v>
      </c>
      <c r="D36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36" s="1">
        <f>Tabla5[[#This Row],[Minutos]]*Tabla13[[#Totals],[Precio Unitario]]</f>
        <v>0</v>
      </c>
      <c r="G36" s="1">
        <f>IFERROR(VLOOKUP(Tabla5[[#This Row],[Persona]],Tabla1[[Nombre]:[Ud]],7,FALSE) *Tabla5[[#This Row],[Minutos]],0)</f>
        <v>0</v>
      </c>
      <c r="J36" s="1">
        <f>IFERROR(VLOOKUP(Tabla5[[#This Row],[Producto 1]],Tabla3[[Nombre]:[Ud]],5,FALSE)*Tabla5[[#This Row],[Cantidad 1]],0)</f>
        <v>0</v>
      </c>
      <c r="M36" s="1">
        <f>IFERROR(VLOOKUP(Tabla5[[#This Row],[Producto 2]],Tabla3[[Nombre]:[Ud]],5,FALSE)*Tabla5[[#This Row],[Cantidad 2]],0)</f>
        <v>0</v>
      </c>
      <c r="P36" s="1">
        <f>IFERROR(VLOOKUP(Tabla5[[#This Row],[Producto 3]],Tabla3[[Nombre]:[Ud]],5,FALSE)*Tabla5[[#This Row],[Cantidad 3]],0)</f>
        <v>0</v>
      </c>
      <c r="S36" s="1">
        <f>IFERROR(VLOOKUP(Tabla5[[#This Row],[Producto 4]],Tabla3[[Nombre]:[Ud]],5,FALSE)*Tabla5[[#This Row],[Cantidad 4]],0)</f>
        <v>0</v>
      </c>
      <c r="V36" s="1">
        <f>IFERROR(VLOOKUP(Tabla5[[#This Row],[Producto 5]],Tabla3[[Nombre]:[Ud]],5,FALSE)*Tabla5[[#This Row],[Cantidad 5]],0)</f>
        <v>0</v>
      </c>
      <c r="Y36" s="1">
        <f>IFERROR(VLOOKUP(Tabla5[[#This Row],[Producto 6]],Tabla3[[Nombre]:[Ud]],5,FALSE)*Tabla5[[#This Row],[Cantidad 6]],0)</f>
        <v>0</v>
      </c>
      <c r="AB36" s="1">
        <f>IFERROR(VLOOKUP(Tabla5[[#This Row],[Producto 7]],Tabla3[[Nombre]:[Ud]],5,FALSE)*Tabla5[[#This Row],[Cantidad 7]],0)</f>
        <v>0</v>
      </c>
      <c r="AE36" s="1">
        <f>IFERROR(VLOOKUP(Tabla5[[#This Row],[Producto 8]],Tabla3[[Nombre]:[Ud]],5,FALSE)*Tabla5[[#This Row],[Cantidad 8]],0)</f>
        <v>0</v>
      </c>
      <c r="AH36" s="1">
        <f>IFERROR(VLOOKUP(Tabla5[[#This Row],[Producto 9]],Tabla3[[Nombre]:[Ud]],5,FALSE)*Tabla5[[#This Row],[Cantidad 9]],0)</f>
        <v>0</v>
      </c>
      <c r="AK36" s="1">
        <f>IFERROR(VLOOKUP(Tabla5[[#This Row],[Producto 10]],Tabla3[[Nombre]:[Ud]],5,FALSE)*Tabla5[[#This Row],[Cantidad 10]],0)</f>
        <v>0</v>
      </c>
      <c r="AN36" s="1">
        <f>IFERROR(VLOOKUP(Tabla5[[#This Row],[Producto 11]],Tabla3[[Nombre]:[Ud]],5,FALSE)*Tabla5[[#This Row],[Cantidad 11]],0)</f>
        <v>0</v>
      </c>
      <c r="AQ36" s="1">
        <f>IFERROR(VLOOKUP(Tabla5[[#This Row],[Producto 12]],Tabla3[[Nombre]:[Ud]],5,FALSE)*Tabla5[[#This Row],[Cantidad 12]],0)</f>
        <v>0</v>
      </c>
      <c r="AT36" s="1">
        <f>IFERROR(VLOOKUP(Tabla5[[#This Row],[Producto 13]],Tabla3[[Nombre]:[Ud]],5,FALSE)*Tabla5[[#This Row],[Cantidad 13]],0)</f>
        <v>0</v>
      </c>
      <c r="AW36" s="1">
        <f>IFERROR(VLOOKUP(Tabla5[[#This Row],[Producto 14]],Tabla3[[Nombre]:[Ud]],5,FALSE)*Tabla5[[#This Row],[Cantidad 14]],0)</f>
        <v>0</v>
      </c>
      <c r="AZ36" s="1">
        <f>IFERROR(VLOOKUP(Tabla5[[#This Row],[Producto 15]],Tabla3[[Nombre]:[Ud]],5,FALSE)*Tabla5[[#This Row],[Cantidad 15]],0)</f>
        <v>0</v>
      </c>
      <c r="BC36" s="1">
        <f>IFERROR(VLOOKUP(Tabla5[[#This Row],[Producto 16]],Tabla3[[Nombre]:[Ud]],5,FALSE)*Tabla5[[#This Row],[Cantidad 16]],0)</f>
        <v>0</v>
      </c>
      <c r="BF36" s="1">
        <f>IFERROR(VLOOKUP(Tabla5[[#This Row],[Producto 17]],Tabla3[[Nombre]:[Ud]],5,FALSE)*Tabla5[[#This Row],[Cantidad 17]],0)</f>
        <v>0</v>
      </c>
      <c r="BI36" s="1">
        <f>IFERROR(VLOOKUP(Tabla5[[#This Row],[Producto 18]],Tabla3[[Nombre]:[Ud]],5,FALSE)*Tabla5[[#This Row],[Cantidad 18]],0)</f>
        <v>0</v>
      </c>
      <c r="BL36" s="1">
        <f>IFERROR(VLOOKUP(Tabla5[[#This Row],[Producto 19]],Tabla3[[Nombre]:[Ud]],5,FALSE)*Tabla5[[#This Row],[Cantidad 19]],0)</f>
        <v>0</v>
      </c>
      <c r="BO36" s="1">
        <f>IFERROR(VLOOKUP(Tabla5[[#This Row],[Producto 20]],Tabla3[[Nombre]:[Ud]],5,FALSE)*Tabla5[[#This Row],[Cantidad 20]],0)</f>
        <v>0</v>
      </c>
      <c r="BR36" s="1">
        <f>IFERROR(VLOOKUP(Tabla5[[#This Row],[Producto 21]],Tabla3[[Nombre]:[Ud]],5,FALSE)*Tabla5[[#This Row],[Cantidad 21]],0)</f>
        <v>0</v>
      </c>
      <c r="BU36" s="1">
        <f>IFERROR(VLOOKUP(Tabla5[[#This Row],[Producto 22]],Tabla3[[Nombre]:[Ud]],5,FALSE)*Tabla5[[#This Row],[Cantidad 22]],0)</f>
        <v>0</v>
      </c>
      <c r="BX36" s="1">
        <f>IFERROR(VLOOKUP(Tabla5[[#This Row],[Producto 23]],Tabla3[[Nombre]:[Ud]],5,FALSE)*Tabla5[[#This Row],[Cantidad 23]],0)</f>
        <v>0</v>
      </c>
      <c r="CA36" s="1">
        <f>IFERROR(VLOOKUP(Tabla5[[#This Row],[Producto 24]],Tabla3[[Nombre]:[Ud]],5,FALSE)*Tabla5[[#This Row],[Cantidad 24]],0)</f>
        <v>0</v>
      </c>
      <c r="CD36" s="1">
        <f>IFERROR(VLOOKUP(Tabla5[[#This Row],[Producto 25]],Tabla3[[Nombre]:[Ud]],5,FALSE)*Tabla5[[#This Row],[Cantidad 25]],0)</f>
        <v>0</v>
      </c>
      <c r="CG36" s="1">
        <f>IFERROR(VLOOKUP(Tabla5[[#This Row],[Producto 26]],Tabla3[[Nombre]:[Ud]],5,FALSE)*Tabla5[[#This Row],[Cantidad 26]],0)</f>
        <v>0</v>
      </c>
      <c r="CJ36" s="1">
        <f>IFERROR(VLOOKUP(Tabla5[[#This Row],[Producto 27]],Tabla3[[Nombre]:[Ud]],5,FALSE)*Tabla5[[#This Row],[Cantidad 27]],0)</f>
        <v>0</v>
      </c>
      <c r="CM36" s="1">
        <f>IFERROR(VLOOKUP(Tabla5[[#This Row],[Producto 28]],Tabla3[[Nombre]:[Ud]],5,FALSE)*Tabla5[[#This Row],[Cantidad 28]],0)</f>
        <v>0</v>
      </c>
      <c r="CP36" s="1">
        <f>IFERROR(VLOOKUP(Tabla5[[#This Row],[Producto 29]],Tabla3[[Nombre]:[Ud]],5,FALSE)*Tabla5[[#This Row],[Cantidad 29]],0)</f>
        <v>0</v>
      </c>
      <c r="CS36" s="1">
        <f>IFERROR(VLOOKUP(Tabla5[[#This Row],[Producto 30]],Tabla3[[Nombre]:[Ud]],5,FALSE)*Tabla5[[#This Row],[Cantidad 30]],0)</f>
        <v>0</v>
      </c>
    </row>
    <row r="37" spans="1:97" x14ac:dyDescent="0.35">
      <c r="A37">
        <v>35</v>
      </c>
      <c r="D37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37" s="1">
        <f>Tabla5[[#This Row],[Minutos]]*Tabla13[[#Totals],[Precio Unitario]]</f>
        <v>0</v>
      </c>
      <c r="G37" s="1">
        <f>IFERROR(VLOOKUP(Tabla5[[#This Row],[Persona]],Tabla1[[Nombre]:[Ud]],7,FALSE) *Tabla5[[#This Row],[Minutos]],0)</f>
        <v>0</v>
      </c>
      <c r="J37" s="1">
        <f>IFERROR(VLOOKUP(Tabla5[[#This Row],[Producto 1]],Tabla3[[Nombre]:[Ud]],5,FALSE)*Tabla5[[#This Row],[Cantidad 1]],0)</f>
        <v>0</v>
      </c>
      <c r="M37" s="1">
        <f>IFERROR(VLOOKUP(Tabla5[[#This Row],[Producto 2]],Tabla3[[Nombre]:[Ud]],5,FALSE)*Tabla5[[#This Row],[Cantidad 2]],0)</f>
        <v>0</v>
      </c>
      <c r="P37" s="1">
        <f>IFERROR(VLOOKUP(Tabla5[[#This Row],[Producto 3]],Tabla3[[Nombre]:[Ud]],5,FALSE)*Tabla5[[#This Row],[Cantidad 3]],0)</f>
        <v>0</v>
      </c>
      <c r="S37" s="1">
        <f>IFERROR(VLOOKUP(Tabla5[[#This Row],[Producto 4]],Tabla3[[Nombre]:[Ud]],5,FALSE)*Tabla5[[#This Row],[Cantidad 4]],0)</f>
        <v>0</v>
      </c>
      <c r="V37" s="1">
        <f>IFERROR(VLOOKUP(Tabla5[[#This Row],[Producto 5]],Tabla3[[Nombre]:[Ud]],5,FALSE)*Tabla5[[#This Row],[Cantidad 5]],0)</f>
        <v>0</v>
      </c>
      <c r="Y37" s="1">
        <f>IFERROR(VLOOKUP(Tabla5[[#This Row],[Producto 6]],Tabla3[[Nombre]:[Ud]],5,FALSE)*Tabla5[[#This Row],[Cantidad 6]],0)</f>
        <v>0</v>
      </c>
      <c r="AB37" s="1">
        <f>IFERROR(VLOOKUP(Tabla5[[#This Row],[Producto 7]],Tabla3[[Nombre]:[Ud]],5,FALSE)*Tabla5[[#This Row],[Cantidad 7]],0)</f>
        <v>0</v>
      </c>
      <c r="AE37" s="1">
        <f>IFERROR(VLOOKUP(Tabla5[[#This Row],[Producto 8]],Tabla3[[Nombre]:[Ud]],5,FALSE)*Tabla5[[#This Row],[Cantidad 8]],0)</f>
        <v>0</v>
      </c>
      <c r="AH37" s="1">
        <f>IFERROR(VLOOKUP(Tabla5[[#This Row],[Producto 9]],Tabla3[[Nombre]:[Ud]],5,FALSE)*Tabla5[[#This Row],[Cantidad 9]],0)</f>
        <v>0</v>
      </c>
      <c r="AK37" s="1">
        <f>IFERROR(VLOOKUP(Tabla5[[#This Row],[Producto 10]],Tabla3[[Nombre]:[Ud]],5,FALSE)*Tabla5[[#This Row],[Cantidad 10]],0)</f>
        <v>0</v>
      </c>
      <c r="AN37" s="1">
        <f>IFERROR(VLOOKUP(Tabla5[[#This Row],[Producto 11]],Tabla3[[Nombre]:[Ud]],5,FALSE)*Tabla5[[#This Row],[Cantidad 11]],0)</f>
        <v>0</v>
      </c>
      <c r="AQ37" s="1">
        <f>IFERROR(VLOOKUP(Tabla5[[#This Row],[Producto 12]],Tabla3[[Nombre]:[Ud]],5,FALSE)*Tabla5[[#This Row],[Cantidad 12]],0)</f>
        <v>0</v>
      </c>
      <c r="AT37" s="1">
        <f>IFERROR(VLOOKUP(Tabla5[[#This Row],[Producto 13]],Tabla3[[Nombre]:[Ud]],5,FALSE)*Tabla5[[#This Row],[Cantidad 13]],0)</f>
        <v>0</v>
      </c>
      <c r="AW37" s="1">
        <f>IFERROR(VLOOKUP(Tabla5[[#This Row],[Producto 14]],Tabla3[[Nombre]:[Ud]],5,FALSE)*Tabla5[[#This Row],[Cantidad 14]],0)</f>
        <v>0</v>
      </c>
      <c r="AZ37" s="1">
        <f>IFERROR(VLOOKUP(Tabla5[[#This Row],[Producto 15]],Tabla3[[Nombre]:[Ud]],5,FALSE)*Tabla5[[#This Row],[Cantidad 15]],0)</f>
        <v>0</v>
      </c>
      <c r="BC37" s="1">
        <f>IFERROR(VLOOKUP(Tabla5[[#This Row],[Producto 16]],Tabla3[[Nombre]:[Ud]],5,FALSE)*Tabla5[[#This Row],[Cantidad 16]],0)</f>
        <v>0</v>
      </c>
      <c r="BF37" s="1">
        <f>IFERROR(VLOOKUP(Tabla5[[#This Row],[Producto 17]],Tabla3[[Nombre]:[Ud]],5,FALSE)*Tabla5[[#This Row],[Cantidad 17]],0)</f>
        <v>0</v>
      </c>
      <c r="BI37" s="1">
        <f>IFERROR(VLOOKUP(Tabla5[[#This Row],[Producto 18]],Tabla3[[Nombre]:[Ud]],5,FALSE)*Tabla5[[#This Row],[Cantidad 18]],0)</f>
        <v>0</v>
      </c>
      <c r="BL37" s="1">
        <f>IFERROR(VLOOKUP(Tabla5[[#This Row],[Producto 19]],Tabla3[[Nombre]:[Ud]],5,FALSE)*Tabla5[[#This Row],[Cantidad 19]],0)</f>
        <v>0</v>
      </c>
      <c r="BO37" s="1">
        <f>IFERROR(VLOOKUP(Tabla5[[#This Row],[Producto 20]],Tabla3[[Nombre]:[Ud]],5,FALSE)*Tabla5[[#This Row],[Cantidad 20]],0)</f>
        <v>0</v>
      </c>
      <c r="BR37" s="1">
        <f>IFERROR(VLOOKUP(Tabla5[[#This Row],[Producto 21]],Tabla3[[Nombre]:[Ud]],5,FALSE)*Tabla5[[#This Row],[Cantidad 21]],0)</f>
        <v>0</v>
      </c>
      <c r="BU37" s="1">
        <f>IFERROR(VLOOKUP(Tabla5[[#This Row],[Producto 22]],Tabla3[[Nombre]:[Ud]],5,FALSE)*Tabla5[[#This Row],[Cantidad 22]],0)</f>
        <v>0</v>
      </c>
      <c r="BX37" s="1">
        <f>IFERROR(VLOOKUP(Tabla5[[#This Row],[Producto 23]],Tabla3[[Nombre]:[Ud]],5,FALSE)*Tabla5[[#This Row],[Cantidad 23]],0)</f>
        <v>0</v>
      </c>
      <c r="CA37" s="1">
        <f>IFERROR(VLOOKUP(Tabla5[[#This Row],[Producto 24]],Tabla3[[Nombre]:[Ud]],5,FALSE)*Tabla5[[#This Row],[Cantidad 24]],0)</f>
        <v>0</v>
      </c>
      <c r="CD37" s="1">
        <f>IFERROR(VLOOKUP(Tabla5[[#This Row],[Producto 25]],Tabla3[[Nombre]:[Ud]],5,FALSE)*Tabla5[[#This Row],[Cantidad 25]],0)</f>
        <v>0</v>
      </c>
      <c r="CG37" s="1">
        <f>IFERROR(VLOOKUP(Tabla5[[#This Row],[Producto 26]],Tabla3[[Nombre]:[Ud]],5,FALSE)*Tabla5[[#This Row],[Cantidad 26]],0)</f>
        <v>0</v>
      </c>
      <c r="CJ37" s="1">
        <f>IFERROR(VLOOKUP(Tabla5[[#This Row],[Producto 27]],Tabla3[[Nombre]:[Ud]],5,FALSE)*Tabla5[[#This Row],[Cantidad 27]],0)</f>
        <v>0</v>
      </c>
      <c r="CM37" s="1">
        <f>IFERROR(VLOOKUP(Tabla5[[#This Row],[Producto 28]],Tabla3[[Nombre]:[Ud]],5,FALSE)*Tabla5[[#This Row],[Cantidad 28]],0)</f>
        <v>0</v>
      </c>
      <c r="CP37" s="1">
        <f>IFERROR(VLOOKUP(Tabla5[[#This Row],[Producto 29]],Tabla3[[Nombre]:[Ud]],5,FALSE)*Tabla5[[#This Row],[Cantidad 29]],0)</f>
        <v>0</v>
      </c>
      <c r="CS37" s="1">
        <f>IFERROR(VLOOKUP(Tabla5[[#This Row],[Producto 30]],Tabla3[[Nombre]:[Ud]],5,FALSE)*Tabla5[[#This Row],[Cantidad 30]],0)</f>
        <v>0</v>
      </c>
    </row>
    <row r="38" spans="1:97" x14ac:dyDescent="0.35">
      <c r="A38">
        <v>36</v>
      </c>
      <c r="D38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38" s="1">
        <f>Tabla5[[#This Row],[Minutos]]*Tabla13[[#Totals],[Precio Unitario]]</f>
        <v>0</v>
      </c>
      <c r="G38" s="1">
        <f>IFERROR(VLOOKUP(Tabla5[[#This Row],[Persona]],Tabla1[[Nombre]:[Ud]],7,FALSE) *Tabla5[[#This Row],[Minutos]],0)</f>
        <v>0</v>
      </c>
      <c r="J38" s="1">
        <f>IFERROR(VLOOKUP(Tabla5[[#This Row],[Producto 1]],Tabla3[[Nombre]:[Ud]],5,FALSE)*Tabla5[[#This Row],[Cantidad 1]],0)</f>
        <v>0</v>
      </c>
      <c r="M38" s="1">
        <f>IFERROR(VLOOKUP(Tabla5[[#This Row],[Producto 2]],Tabla3[[Nombre]:[Ud]],5,FALSE)*Tabla5[[#This Row],[Cantidad 2]],0)</f>
        <v>0</v>
      </c>
      <c r="P38" s="1">
        <f>IFERROR(VLOOKUP(Tabla5[[#This Row],[Producto 3]],Tabla3[[Nombre]:[Ud]],5,FALSE)*Tabla5[[#This Row],[Cantidad 3]],0)</f>
        <v>0</v>
      </c>
      <c r="S38" s="1">
        <f>IFERROR(VLOOKUP(Tabla5[[#This Row],[Producto 4]],Tabla3[[Nombre]:[Ud]],5,FALSE)*Tabla5[[#This Row],[Cantidad 4]],0)</f>
        <v>0</v>
      </c>
      <c r="V38" s="1">
        <f>IFERROR(VLOOKUP(Tabla5[[#This Row],[Producto 5]],Tabla3[[Nombre]:[Ud]],5,FALSE)*Tabla5[[#This Row],[Cantidad 5]],0)</f>
        <v>0</v>
      </c>
      <c r="Y38" s="1">
        <f>IFERROR(VLOOKUP(Tabla5[[#This Row],[Producto 6]],Tabla3[[Nombre]:[Ud]],5,FALSE)*Tabla5[[#This Row],[Cantidad 6]],0)</f>
        <v>0</v>
      </c>
      <c r="AB38" s="1">
        <f>IFERROR(VLOOKUP(Tabla5[[#This Row],[Producto 7]],Tabla3[[Nombre]:[Ud]],5,FALSE)*Tabla5[[#This Row],[Cantidad 7]],0)</f>
        <v>0</v>
      </c>
      <c r="AE38" s="1">
        <f>IFERROR(VLOOKUP(Tabla5[[#This Row],[Producto 8]],Tabla3[[Nombre]:[Ud]],5,FALSE)*Tabla5[[#This Row],[Cantidad 8]],0)</f>
        <v>0</v>
      </c>
      <c r="AH38" s="1">
        <f>IFERROR(VLOOKUP(Tabla5[[#This Row],[Producto 9]],Tabla3[[Nombre]:[Ud]],5,FALSE)*Tabla5[[#This Row],[Cantidad 9]],0)</f>
        <v>0</v>
      </c>
      <c r="AK38" s="1">
        <f>IFERROR(VLOOKUP(Tabla5[[#This Row],[Producto 10]],Tabla3[[Nombre]:[Ud]],5,FALSE)*Tabla5[[#This Row],[Cantidad 10]],0)</f>
        <v>0</v>
      </c>
      <c r="AN38" s="1">
        <f>IFERROR(VLOOKUP(Tabla5[[#This Row],[Producto 11]],Tabla3[[Nombre]:[Ud]],5,FALSE)*Tabla5[[#This Row],[Cantidad 11]],0)</f>
        <v>0</v>
      </c>
      <c r="AQ38" s="1">
        <f>IFERROR(VLOOKUP(Tabla5[[#This Row],[Producto 12]],Tabla3[[Nombre]:[Ud]],5,FALSE)*Tabla5[[#This Row],[Cantidad 12]],0)</f>
        <v>0</v>
      </c>
      <c r="AT38" s="1">
        <f>IFERROR(VLOOKUP(Tabla5[[#This Row],[Producto 13]],Tabla3[[Nombre]:[Ud]],5,FALSE)*Tabla5[[#This Row],[Cantidad 13]],0)</f>
        <v>0</v>
      </c>
      <c r="AW38" s="1">
        <f>IFERROR(VLOOKUP(Tabla5[[#This Row],[Producto 14]],Tabla3[[Nombre]:[Ud]],5,FALSE)*Tabla5[[#This Row],[Cantidad 14]],0)</f>
        <v>0</v>
      </c>
      <c r="AZ38" s="1">
        <f>IFERROR(VLOOKUP(Tabla5[[#This Row],[Producto 15]],Tabla3[[Nombre]:[Ud]],5,FALSE)*Tabla5[[#This Row],[Cantidad 15]],0)</f>
        <v>0</v>
      </c>
      <c r="BC38" s="1">
        <f>IFERROR(VLOOKUP(Tabla5[[#This Row],[Producto 16]],Tabla3[[Nombre]:[Ud]],5,FALSE)*Tabla5[[#This Row],[Cantidad 16]],0)</f>
        <v>0</v>
      </c>
      <c r="BF38" s="1">
        <f>IFERROR(VLOOKUP(Tabla5[[#This Row],[Producto 17]],Tabla3[[Nombre]:[Ud]],5,FALSE)*Tabla5[[#This Row],[Cantidad 17]],0)</f>
        <v>0</v>
      </c>
      <c r="BI38" s="1">
        <f>IFERROR(VLOOKUP(Tabla5[[#This Row],[Producto 18]],Tabla3[[Nombre]:[Ud]],5,FALSE)*Tabla5[[#This Row],[Cantidad 18]],0)</f>
        <v>0</v>
      </c>
      <c r="BL38" s="1">
        <f>IFERROR(VLOOKUP(Tabla5[[#This Row],[Producto 19]],Tabla3[[Nombre]:[Ud]],5,FALSE)*Tabla5[[#This Row],[Cantidad 19]],0)</f>
        <v>0</v>
      </c>
      <c r="BO38" s="1">
        <f>IFERROR(VLOOKUP(Tabla5[[#This Row],[Producto 20]],Tabla3[[Nombre]:[Ud]],5,FALSE)*Tabla5[[#This Row],[Cantidad 20]],0)</f>
        <v>0</v>
      </c>
      <c r="BR38" s="1">
        <f>IFERROR(VLOOKUP(Tabla5[[#This Row],[Producto 21]],Tabla3[[Nombre]:[Ud]],5,FALSE)*Tabla5[[#This Row],[Cantidad 21]],0)</f>
        <v>0</v>
      </c>
      <c r="BU38" s="1">
        <f>IFERROR(VLOOKUP(Tabla5[[#This Row],[Producto 22]],Tabla3[[Nombre]:[Ud]],5,FALSE)*Tabla5[[#This Row],[Cantidad 22]],0)</f>
        <v>0</v>
      </c>
      <c r="BX38" s="1">
        <f>IFERROR(VLOOKUP(Tabla5[[#This Row],[Producto 23]],Tabla3[[Nombre]:[Ud]],5,FALSE)*Tabla5[[#This Row],[Cantidad 23]],0)</f>
        <v>0</v>
      </c>
      <c r="CA38" s="1">
        <f>IFERROR(VLOOKUP(Tabla5[[#This Row],[Producto 24]],Tabla3[[Nombre]:[Ud]],5,FALSE)*Tabla5[[#This Row],[Cantidad 24]],0)</f>
        <v>0</v>
      </c>
      <c r="CD38" s="1">
        <f>IFERROR(VLOOKUP(Tabla5[[#This Row],[Producto 25]],Tabla3[[Nombre]:[Ud]],5,FALSE)*Tabla5[[#This Row],[Cantidad 25]],0)</f>
        <v>0</v>
      </c>
      <c r="CG38" s="1">
        <f>IFERROR(VLOOKUP(Tabla5[[#This Row],[Producto 26]],Tabla3[[Nombre]:[Ud]],5,FALSE)*Tabla5[[#This Row],[Cantidad 26]],0)</f>
        <v>0</v>
      </c>
      <c r="CJ38" s="1">
        <f>IFERROR(VLOOKUP(Tabla5[[#This Row],[Producto 27]],Tabla3[[Nombre]:[Ud]],5,FALSE)*Tabla5[[#This Row],[Cantidad 27]],0)</f>
        <v>0</v>
      </c>
      <c r="CM38" s="1">
        <f>IFERROR(VLOOKUP(Tabla5[[#This Row],[Producto 28]],Tabla3[[Nombre]:[Ud]],5,FALSE)*Tabla5[[#This Row],[Cantidad 28]],0)</f>
        <v>0</v>
      </c>
      <c r="CP38" s="1">
        <f>IFERROR(VLOOKUP(Tabla5[[#This Row],[Producto 29]],Tabla3[[Nombre]:[Ud]],5,FALSE)*Tabla5[[#This Row],[Cantidad 29]],0)</f>
        <v>0</v>
      </c>
      <c r="CS38" s="1">
        <f>IFERROR(VLOOKUP(Tabla5[[#This Row],[Producto 30]],Tabla3[[Nombre]:[Ud]],5,FALSE)*Tabla5[[#This Row],[Cantidad 30]],0)</f>
        <v>0</v>
      </c>
    </row>
    <row r="39" spans="1:97" x14ac:dyDescent="0.35">
      <c r="A39">
        <v>37</v>
      </c>
      <c r="D39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39" s="1">
        <f>Tabla5[[#This Row],[Minutos]]*Tabla13[[#Totals],[Precio Unitario]]</f>
        <v>0</v>
      </c>
      <c r="G39" s="1">
        <f>IFERROR(VLOOKUP(Tabla5[[#This Row],[Persona]],Tabla1[[Nombre]:[Ud]],7,FALSE) *Tabla5[[#This Row],[Minutos]],0)</f>
        <v>0</v>
      </c>
      <c r="J39" s="1">
        <f>IFERROR(VLOOKUP(Tabla5[[#This Row],[Producto 1]],Tabla3[[Nombre]:[Ud]],5,FALSE)*Tabla5[[#This Row],[Cantidad 1]],0)</f>
        <v>0</v>
      </c>
      <c r="M39" s="1">
        <f>IFERROR(VLOOKUP(Tabla5[[#This Row],[Producto 2]],Tabla3[[Nombre]:[Ud]],5,FALSE)*Tabla5[[#This Row],[Cantidad 2]],0)</f>
        <v>0</v>
      </c>
      <c r="P39" s="1">
        <f>IFERROR(VLOOKUP(Tabla5[[#This Row],[Producto 3]],Tabla3[[Nombre]:[Ud]],5,FALSE)*Tabla5[[#This Row],[Cantidad 3]],0)</f>
        <v>0</v>
      </c>
      <c r="S39" s="1">
        <f>IFERROR(VLOOKUP(Tabla5[[#This Row],[Producto 4]],Tabla3[[Nombre]:[Ud]],5,FALSE)*Tabla5[[#This Row],[Cantidad 4]],0)</f>
        <v>0</v>
      </c>
      <c r="V39" s="1">
        <f>IFERROR(VLOOKUP(Tabla5[[#This Row],[Producto 5]],Tabla3[[Nombre]:[Ud]],5,FALSE)*Tabla5[[#This Row],[Cantidad 5]],0)</f>
        <v>0</v>
      </c>
      <c r="Y39" s="1">
        <f>IFERROR(VLOOKUP(Tabla5[[#This Row],[Producto 6]],Tabla3[[Nombre]:[Ud]],5,FALSE)*Tabla5[[#This Row],[Cantidad 6]],0)</f>
        <v>0</v>
      </c>
      <c r="AB39" s="1">
        <f>IFERROR(VLOOKUP(Tabla5[[#This Row],[Producto 7]],Tabla3[[Nombre]:[Ud]],5,FALSE)*Tabla5[[#This Row],[Cantidad 7]],0)</f>
        <v>0</v>
      </c>
      <c r="AE39" s="1">
        <f>IFERROR(VLOOKUP(Tabla5[[#This Row],[Producto 8]],Tabla3[[Nombre]:[Ud]],5,FALSE)*Tabla5[[#This Row],[Cantidad 8]],0)</f>
        <v>0</v>
      </c>
      <c r="AH39" s="1">
        <f>IFERROR(VLOOKUP(Tabla5[[#This Row],[Producto 9]],Tabla3[[Nombre]:[Ud]],5,FALSE)*Tabla5[[#This Row],[Cantidad 9]],0)</f>
        <v>0</v>
      </c>
      <c r="AK39" s="1">
        <f>IFERROR(VLOOKUP(Tabla5[[#This Row],[Producto 10]],Tabla3[[Nombre]:[Ud]],5,FALSE)*Tabla5[[#This Row],[Cantidad 10]],0)</f>
        <v>0</v>
      </c>
      <c r="AN39" s="1">
        <f>IFERROR(VLOOKUP(Tabla5[[#This Row],[Producto 11]],Tabla3[[Nombre]:[Ud]],5,FALSE)*Tabla5[[#This Row],[Cantidad 11]],0)</f>
        <v>0</v>
      </c>
      <c r="AQ39" s="1">
        <f>IFERROR(VLOOKUP(Tabla5[[#This Row],[Producto 12]],Tabla3[[Nombre]:[Ud]],5,FALSE)*Tabla5[[#This Row],[Cantidad 12]],0)</f>
        <v>0</v>
      </c>
      <c r="AT39" s="1">
        <f>IFERROR(VLOOKUP(Tabla5[[#This Row],[Producto 13]],Tabla3[[Nombre]:[Ud]],5,FALSE)*Tabla5[[#This Row],[Cantidad 13]],0)</f>
        <v>0</v>
      </c>
      <c r="AW39" s="1">
        <f>IFERROR(VLOOKUP(Tabla5[[#This Row],[Producto 14]],Tabla3[[Nombre]:[Ud]],5,FALSE)*Tabla5[[#This Row],[Cantidad 14]],0)</f>
        <v>0</v>
      </c>
      <c r="AZ39" s="1">
        <f>IFERROR(VLOOKUP(Tabla5[[#This Row],[Producto 15]],Tabla3[[Nombre]:[Ud]],5,FALSE)*Tabla5[[#This Row],[Cantidad 15]],0)</f>
        <v>0</v>
      </c>
      <c r="BC39" s="1">
        <f>IFERROR(VLOOKUP(Tabla5[[#This Row],[Producto 16]],Tabla3[[Nombre]:[Ud]],5,FALSE)*Tabla5[[#This Row],[Cantidad 16]],0)</f>
        <v>0</v>
      </c>
      <c r="BF39" s="1">
        <f>IFERROR(VLOOKUP(Tabla5[[#This Row],[Producto 17]],Tabla3[[Nombre]:[Ud]],5,FALSE)*Tabla5[[#This Row],[Cantidad 17]],0)</f>
        <v>0</v>
      </c>
      <c r="BI39" s="1">
        <f>IFERROR(VLOOKUP(Tabla5[[#This Row],[Producto 18]],Tabla3[[Nombre]:[Ud]],5,FALSE)*Tabla5[[#This Row],[Cantidad 18]],0)</f>
        <v>0</v>
      </c>
      <c r="BL39" s="1">
        <f>IFERROR(VLOOKUP(Tabla5[[#This Row],[Producto 19]],Tabla3[[Nombre]:[Ud]],5,FALSE)*Tabla5[[#This Row],[Cantidad 19]],0)</f>
        <v>0</v>
      </c>
      <c r="BO39" s="1">
        <f>IFERROR(VLOOKUP(Tabla5[[#This Row],[Producto 20]],Tabla3[[Nombre]:[Ud]],5,FALSE)*Tabla5[[#This Row],[Cantidad 20]],0)</f>
        <v>0</v>
      </c>
      <c r="BR39" s="1">
        <f>IFERROR(VLOOKUP(Tabla5[[#This Row],[Producto 21]],Tabla3[[Nombre]:[Ud]],5,FALSE)*Tabla5[[#This Row],[Cantidad 21]],0)</f>
        <v>0</v>
      </c>
      <c r="BU39" s="1">
        <f>IFERROR(VLOOKUP(Tabla5[[#This Row],[Producto 22]],Tabla3[[Nombre]:[Ud]],5,FALSE)*Tabla5[[#This Row],[Cantidad 22]],0)</f>
        <v>0</v>
      </c>
      <c r="BX39" s="1">
        <f>IFERROR(VLOOKUP(Tabla5[[#This Row],[Producto 23]],Tabla3[[Nombre]:[Ud]],5,FALSE)*Tabla5[[#This Row],[Cantidad 23]],0)</f>
        <v>0</v>
      </c>
      <c r="CA39" s="1">
        <f>IFERROR(VLOOKUP(Tabla5[[#This Row],[Producto 24]],Tabla3[[Nombre]:[Ud]],5,FALSE)*Tabla5[[#This Row],[Cantidad 24]],0)</f>
        <v>0</v>
      </c>
      <c r="CD39" s="1">
        <f>IFERROR(VLOOKUP(Tabla5[[#This Row],[Producto 25]],Tabla3[[Nombre]:[Ud]],5,FALSE)*Tabla5[[#This Row],[Cantidad 25]],0)</f>
        <v>0</v>
      </c>
      <c r="CG39" s="1">
        <f>IFERROR(VLOOKUP(Tabla5[[#This Row],[Producto 26]],Tabla3[[Nombre]:[Ud]],5,FALSE)*Tabla5[[#This Row],[Cantidad 26]],0)</f>
        <v>0</v>
      </c>
      <c r="CJ39" s="1">
        <f>IFERROR(VLOOKUP(Tabla5[[#This Row],[Producto 27]],Tabla3[[Nombre]:[Ud]],5,FALSE)*Tabla5[[#This Row],[Cantidad 27]],0)</f>
        <v>0</v>
      </c>
      <c r="CM39" s="1">
        <f>IFERROR(VLOOKUP(Tabla5[[#This Row],[Producto 28]],Tabla3[[Nombre]:[Ud]],5,FALSE)*Tabla5[[#This Row],[Cantidad 28]],0)</f>
        <v>0</v>
      </c>
      <c r="CP39" s="1">
        <f>IFERROR(VLOOKUP(Tabla5[[#This Row],[Producto 29]],Tabla3[[Nombre]:[Ud]],5,FALSE)*Tabla5[[#This Row],[Cantidad 29]],0)</f>
        <v>0</v>
      </c>
      <c r="CS39" s="1">
        <f>IFERROR(VLOOKUP(Tabla5[[#This Row],[Producto 30]],Tabla3[[Nombre]:[Ud]],5,FALSE)*Tabla5[[#This Row],[Cantidad 30]],0)</f>
        <v>0</v>
      </c>
    </row>
    <row r="40" spans="1:97" x14ac:dyDescent="0.35">
      <c r="A40">
        <v>38</v>
      </c>
      <c r="D40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40" s="1">
        <f>Tabla5[[#This Row],[Minutos]]*Tabla13[[#Totals],[Precio Unitario]]</f>
        <v>0</v>
      </c>
      <c r="G40" s="1">
        <f>IFERROR(VLOOKUP(Tabla5[[#This Row],[Persona]],Tabla1[[Nombre]:[Ud]],7,FALSE) *Tabla5[[#This Row],[Minutos]],0)</f>
        <v>0</v>
      </c>
      <c r="J40" s="1">
        <f>IFERROR(VLOOKUP(Tabla5[[#This Row],[Producto 1]],Tabla3[[Nombre]:[Ud]],5,FALSE)*Tabla5[[#This Row],[Cantidad 1]],0)</f>
        <v>0</v>
      </c>
      <c r="M40" s="1">
        <f>IFERROR(VLOOKUP(Tabla5[[#This Row],[Producto 2]],Tabla3[[Nombre]:[Ud]],5,FALSE)*Tabla5[[#This Row],[Cantidad 2]],0)</f>
        <v>0</v>
      </c>
      <c r="P40" s="1">
        <f>IFERROR(VLOOKUP(Tabla5[[#This Row],[Producto 3]],Tabla3[[Nombre]:[Ud]],5,FALSE)*Tabla5[[#This Row],[Cantidad 3]],0)</f>
        <v>0</v>
      </c>
      <c r="S40" s="1">
        <f>IFERROR(VLOOKUP(Tabla5[[#This Row],[Producto 4]],Tabla3[[Nombre]:[Ud]],5,FALSE)*Tabla5[[#This Row],[Cantidad 4]],0)</f>
        <v>0</v>
      </c>
      <c r="V40" s="1">
        <f>IFERROR(VLOOKUP(Tabla5[[#This Row],[Producto 5]],Tabla3[[Nombre]:[Ud]],5,FALSE)*Tabla5[[#This Row],[Cantidad 5]],0)</f>
        <v>0</v>
      </c>
      <c r="Y40" s="1">
        <f>IFERROR(VLOOKUP(Tabla5[[#This Row],[Producto 6]],Tabla3[[Nombre]:[Ud]],5,FALSE)*Tabla5[[#This Row],[Cantidad 6]],0)</f>
        <v>0</v>
      </c>
      <c r="AB40" s="1">
        <f>IFERROR(VLOOKUP(Tabla5[[#This Row],[Producto 7]],Tabla3[[Nombre]:[Ud]],5,FALSE)*Tabla5[[#This Row],[Cantidad 7]],0)</f>
        <v>0</v>
      </c>
      <c r="AE40" s="1">
        <f>IFERROR(VLOOKUP(Tabla5[[#This Row],[Producto 8]],Tabla3[[Nombre]:[Ud]],5,FALSE)*Tabla5[[#This Row],[Cantidad 8]],0)</f>
        <v>0</v>
      </c>
      <c r="AH40" s="1">
        <f>IFERROR(VLOOKUP(Tabla5[[#This Row],[Producto 9]],Tabla3[[Nombre]:[Ud]],5,FALSE)*Tabla5[[#This Row],[Cantidad 9]],0)</f>
        <v>0</v>
      </c>
      <c r="AK40" s="1">
        <f>IFERROR(VLOOKUP(Tabla5[[#This Row],[Producto 10]],Tabla3[[Nombre]:[Ud]],5,FALSE)*Tabla5[[#This Row],[Cantidad 10]],0)</f>
        <v>0</v>
      </c>
      <c r="AN40" s="1">
        <f>IFERROR(VLOOKUP(Tabla5[[#This Row],[Producto 11]],Tabla3[[Nombre]:[Ud]],5,FALSE)*Tabla5[[#This Row],[Cantidad 11]],0)</f>
        <v>0</v>
      </c>
      <c r="AQ40" s="1">
        <f>IFERROR(VLOOKUP(Tabla5[[#This Row],[Producto 12]],Tabla3[[Nombre]:[Ud]],5,FALSE)*Tabla5[[#This Row],[Cantidad 12]],0)</f>
        <v>0</v>
      </c>
      <c r="AT40" s="1">
        <f>IFERROR(VLOOKUP(Tabla5[[#This Row],[Producto 13]],Tabla3[[Nombre]:[Ud]],5,FALSE)*Tabla5[[#This Row],[Cantidad 13]],0)</f>
        <v>0</v>
      </c>
      <c r="AW40" s="1">
        <f>IFERROR(VLOOKUP(Tabla5[[#This Row],[Producto 14]],Tabla3[[Nombre]:[Ud]],5,FALSE)*Tabla5[[#This Row],[Cantidad 14]],0)</f>
        <v>0</v>
      </c>
      <c r="AZ40" s="1">
        <f>IFERROR(VLOOKUP(Tabla5[[#This Row],[Producto 15]],Tabla3[[Nombre]:[Ud]],5,FALSE)*Tabla5[[#This Row],[Cantidad 15]],0)</f>
        <v>0</v>
      </c>
      <c r="BC40" s="1">
        <f>IFERROR(VLOOKUP(Tabla5[[#This Row],[Producto 16]],Tabla3[[Nombre]:[Ud]],5,FALSE)*Tabla5[[#This Row],[Cantidad 16]],0)</f>
        <v>0</v>
      </c>
      <c r="BF40" s="1">
        <f>IFERROR(VLOOKUP(Tabla5[[#This Row],[Producto 17]],Tabla3[[Nombre]:[Ud]],5,FALSE)*Tabla5[[#This Row],[Cantidad 17]],0)</f>
        <v>0</v>
      </c>
      <c r="BI40" s="1">
        <f>IFERROR(VLOOKUP(Tabla5[[#This Row],[Producto 18]],Tabla3[[Nombre]:[Ud]],5,FALSE)*Tabla5[[#This Row],[Cantidad 18]],0)</f>
        <v>0</v>
      </c>
      <c r="BL40" s="1">
        <f>IFERROR(VLOOKUP(Tabla5[[#This Row],[Producto 19]],Tabla3[[Nombre]:[Ud]],5,FALSE)*Tabla5[[#This Row],[Cantidad 19]],0)</f>
        <v>0</v>
      </c>
      <c r="BO40" s="1">
        <f>IFERROR(VLOOKUP(Tabla5[[#This Row],[Producto 20]],Tabla3[[Nombre]:[Ud]],5,FALSE)*Tabla5[[#This Row],[Cantidad 20]],0)</f>
        <v>0</v>
      </c>
      <c r="BR40" s="1">
        <f>IFERROR(VLOOKUP(Tabla5[[#This Row],[Producto 21]],Tabla3[[Nombre]:[Ud]],5,FALSE)*Tabla5[[#This Row],[Cantidad 21]],0)</f>
        <v>0</v>
      </c>
      <c r="BU40" s="1">
        <f>IFERROR(VLOOKUP(Tabla5[[#This Row],[Producto 22]],Tabla3[[Nombre]:[Ud]],5,FALSE)*Tabla5[[#This Row],[Cantidad 22]],0)</f>
        <v>0</v>
      </c>
      <c r="BX40" s="1">
        <f>IFERROR(VLOOKUP(Tabla5[[#This Row],[Producto 23]],Tabla3[[Nombre]:[Ud]],5,FALSE)*Tabla5[[#This Row],[Cantidad 23]],0)</f>
        <v>0</v>
      </c>
      <c r="CA40" s="1">
        <f>IFERROR(VLOOKUP(Tabla5[[#This Row],[Producto 24]],Tabla3[[Nombre]:[Ud]],5,FALSE)*Tabla5[[#This Row],[Cantidad 24]],0)</f>
        <v>0</v>
      </c>
      <c r="CD40" s="1">
        <f>IFERROR(VLOOKUP(Tabla5[[#This Row],[Producto 25]],Tabla3[[Nombre]:[Ud]],5,FALSE)*Tabla5[[#This Row],[Cantidad 25]],0)</f>
        <v>0</v>
      </c>
      <c r="CG40" s="1">
        <f>IFERROR(VLOOKUP(Tabla5[[#This Row],[Producto 26]],Tabla3[[Nombre]:[Ud]],5,FALSE)*Tabla5[[#This Row],[Cantidad 26]],0)</f>
        <v>0</v>
      </c>
      <c r="CJ40" s="1">
        <f>IFERROR(VLOOKUP(Tabla5[[#This Row],[Producto 27]],Tabla3[[Nombre]:[Ud]],5,FALSE)*Tabla5[[#This Row],[Cantidad 27]],0)</f>
        <v>0</v>
      </c>
      <c r="CM40" s="1">
        <f>IFERROR(VLOOKUP(Tabla5[[#This Row],[Producto 28]],Tabla3[[Nombre]:[Ud]],5,FALSE)*Tabla5[[#This Row],[Cantidad 28]],0)</f>
        <v>0</v>
      </c>
      <c r="CP40" s="1">
        <f>IFERROR(VLOOKUP(Tabla5[[#This Row],[Producto 29]],Tabla3[[Nombre]:[Ud]],5,FALSE)*Tabla5[[#This Row],[Cantidad 29]],0)</f>
        <v>0</v>
      </c>
      <c r="CS40" s="1">
        <f>IFERROR(VLOOKUP(Tabla5[[#This Row],[Producto 30]],Tabla3[[Nombre]:[Ud]],5,FALSE)*Tabla5[[#This Row],[Cantidad 30]],0)</f>
        <v>0</v>
      </c>
    </row>
    <row r="41" spans="1:97" x14ac:dyDescent="0.35">
      <c r="A41">
        <v>39</v>
      </c>
      <c r="D41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41" s="1">
        <f>Tabla5[[#This Row],[Minutos]]*Tabla13[[#Totals],[Precio Unitario]]</f>
        <v>0</v>
      </c>
      <c r="G41" s="1">
        <f>IFERROR(VLOOKUP(Tabla5[[#This Row],[Persona]],Tabla1[[Nombre]:[Ud]],7,FALSE) *Tabla5[[#This Row],[Minutos]],0)</f>
        <v>0</v>
      </c>
      <c r="J41" s="1">
        <f>IFERROR(VLOOKUP(Tabla5[[#This Row],[Producto 1]],Tabla3[[Nombre]:[Ud]],5,FALSE)*Tabla5[[#This Row],[Cantidad 1]],0)</f>
        <v>0</v>
      </c>
      <c r="M41" s="1">
        <f>IFERROR(VLOOKUP(Tabla5[[#This Row],[Producto 2]],Tabla3[[Nombre]:[Ud]],5,FALSE)*Tabla5[[#This Row],[Cantidad 2]],0)</f>
        <v>0</v>
      </c>
      <c r="P41" s="1">
        <f>IFERROR(VLOOKUP(Tabla5[[#This Row],[Producto 3]],Tabla3[[Nombre]:[Ud]],5,FALSE)*Tabla5[[#This Row],[Cantidad 3]],0)</f>
        <v>0</v>
      </c>
      <c r="S41" s="1">
        <f>IFERROR(VLOOKUP(Tabla5[[#This Row],[Producto 4]],Tabla3[[Nombre]:[Ud]],5,FALSE)*Tabla5[[#This Row],[Cantidad 4]],0)</f>
        <v>0</v>
      </c>
      <c r="V41" s="1">
        <f>IFERROR(VLOOKUP(Tabla5[[#This Row],[Producto 5]],Tabla3[[Nombre]:[Ud]],5,FALSE)*Tabla5[[#This Row],[Cantidad 5]],0)</f>
        <v>0</v>
      </c>
      <c r="Y41" s="1">
        <f>IFERROR(VLOOKUP(Tabla5[[#This Row],[Producto 6]],Tabla3[[Nombre]:[Ud]],5,FALSE)*Tabla5[[#This Row],[Cantidad 6]],0)</f>
        <v>0</v>
      </c>
      <c r="AB41" s="1">
        <f>IFERROR(VLOOKUP(Tabla5[[#This Row],[Producto 7]],Tabla3[[Nombre]:[Ud]],5,FALSE)*Tabla5[[#This Row],[Cantidad 7]],0)</f>
        <v>0</v>
      </c>
      <c r="AE41" s="1">
        <f>IFERROR(VLOOKUP(Tabla5[[#This Row],[Producto 8]],Tabla3[[Nombre]:[Ud]],5,FALSE)*Tabla5[[#This Row],[Cantidad 8]],0)</f>
        <v>0</v>
      </c>
      <c r="AH41" s="1">
        <f>IFERROR(VLOOKUP(Tabla5[[#This Row],[Producto 9]],Tabla3[[Nombre]:[Ud]],5,FALSE)*Tabla5[[#This Row],[Cantidad 9]],0)</f>
        <v>0</v>
      </c>
      <c r="AK41" s="1">
        <f>IFERROR(VLOOKUP(Tabla5[[#This Row],[Producto 10]],Tabla3[[Nombre]:[Ud]],5,FALSE)*Tabla5[[#This Row],[Cantidad 10]],0)</f>
        <v>0</v>
      </c>
      <c r="AN41" s="1">
        <f>IFERROR(VLOOKUP(Tabla5[[#This Row],[Producto 11]],Tabla3[[Nombre]:[Ud]],5,FALSE)*Tabla5[[#This Row],[Cantidad 11]],0)</f>
        <v>0</v>
      </c>
      <c r="AQ41" s="1">
        <f>IFERROR(VLOOKUP(Tabla5[[#This Row],[Producto 12]],Tabla3[[Nombre]:[Ud]],5,FALSE)*Tabla5[[#This Row],[Cantidad 12]],0)</f>
        <v>0</v>
      </c>
      <c r="AT41" s="1">
        <f>IFERROR(VLOOKUP(Tabla5[[#This Row],[Producto 13]],Tabla3[[Nombre]:[Ud]],5,FALSE)*Tabla5[[#This Row],[Cantidad 13]],0)</f>
        <v>0</v>
      </c>
      <c r="AW41" s="1">
        <f>IFERROR(VLOOKUP(Tabla5[[#This Row],[Producto 14]],Tabla3[[Nombre]:[Ud]],5,FALSE)*Tabla5[[#This Row],[Cantidad 14]],0)</f>
        <v>0</v>
      </c>
      <c r="AZ41" s="1">
        <f>IFERROR(VLOOKUP(Tabla5[[#This Row],[Producto 15]],Tabla3[[Nombre]:[Ud]],5,FALSE)*Tabla5[[#This Row],[Cantidad 15]],0)</f>
        <v>0</v>
      </c>
      <c r="BC41" s="1">
        <f>IFERROR(VLOOKUP(Tabla5[[#This Row],[Producto 16]],Tabla3[[Nombre]:[Ud]],5,FALSE)*Tabla5[[#This Row],[Cantidad 16]],0)</f>
        <v>0</v>
      </c>
      <c r="BF41" s="1">
        <f>IFERROR(VLOOKUP(Tabla5[[#This Row],[Producto 17]],Tabla3[[Nombre]:[Ud]],5,FALSE)*Tabla5[[#This Row],[Cantidad 17]],0)</f>
        <v>0</v>
      </c>
      <c r="BI41" s="1">
        <f>IFERROR(VLOOKUP(Tabla5[[#This Row],[Producto 18]],Tabla3[[Nombre]:[Ud]],5,FALSE)*Tabla5[[#This Row],[Cantidad 18]],0)</f>
        <v>0</v>
      </c>
      <c r="BL41" s="1">
        <f>IFERROR(VLOOKUP(Tabla5[[#This Row],[Producto 19]],Tabla3[[Nombre]:[Ud]],5,FALSE)*Tabla5[[#This Row],[Cantidad 19]],0)</f>
        <v>0</v>
      </c>
      <c r="BO41" s="1">
        <f>IFERROR(VLOOKUP(Tabla5[[#This Row],[Producto 20]],Tabla3[[Nombre]:[Ud]],5,FALSE)*Tabla5[[#This Row],[Cantidad 20]],0)</f>
        <v>0</v>
      </c>
      <c r="BR41" s="1">
        <f>IFERROR(VLOOKUP(Tabla5[[#This Row],[Producto 21]],Tabla3[[Nombre]:[Ud]],5,FALSE)*Tabla5[[#This Row],[Cantidad 21]],0)</f>
        <v>0</v>
      </c>
      <c r="BU41" s="1">
        <f>IFERROR(VLOOKUP(Tabla5[[#This Row],[Producto 22]],Tabla3[[Nombre]:[Ud]],5,FALSE)*Tabla5[[#This Row],[Cantidad 22]],0)</f>
        <v>0</v>
      </c>
      <c r="BX41" s="1">
        <f>IFERROR(VLOOKUP(Tabla5[[#This Row],[Producto 23]],Tabla3[[Nombre]:[Ud]],5,FALSE)*Tabla5[[#This Row],[Cantidad 23]],0)</f>
        <v>0</v>
      </c>
      <c r="CA41" s="1">
        <f>IFERROR(VLOOKUP(Tabla5[[#This Row],[Producto 24]],Tabla3[[Nombre]:[Ud]],5,FALSE)*Tabla5[[#This Row],[Cantidad 24]],0)</f>
        <v>0</v>
      </c>
      <c r="CD41" s="1">
        <f>IFERROR(VLOOKUP(Tabla5[[#This Row],[Producto 25]],Tabla3[[Nombre]:[Ud]],5,FALSE)*Tabla5[[#This Row],[Cantidad 25]],0)</f>
        <v>0</v>
      </c>
      <c r="CG41" s="1">
        <f>IFERROR(VLOOKUP(Tabla5[[#This Row],[Producto 26]],Tabla3[[Nombre]:[Ud]],5,FALSE)*Tabla5[[#This Row],[Cantidad 26]],0)</f>
        <v>0</v>
      </c>
      <c r="CJ41" s="1">
        <f>IFERROR(VLOOKUP(Tabla5[[#This Row],[Producto 27]],Tabla3[[Nombre]:[Ud]],5,FALSE)*Tabla5[[#This Row],[Cantidad 27]],0)</f>
        <v>0</v>
      </c>
      <c r="CM41" s="1">
        <f>IFERROR(VLOOKUP(Tabla5[[#This Row],[Producto 28]],Tabla3[[Nombre]:[Ud]],5,FALSE)*Tabla5[[#This Row],[Cantidad 28]],0)</f>
        <v>0</v>
      </c>
      <c r="CP41" s="1">
        <f>IFERROR(VLOOKUP(Tabla5[[#This Row],[Producto 29]],Tabla3[[Nombre]:[Ud]],5,FALSE)*Tabla5[[#This Row],[Cantidad 29]],0)</f>
        <v>0</v>
      </c>
      <c r="CS41" s="1">
        <f>IFERROR(VLOOKUP(Tabla5[[#This Row],[Producto 30]],Tabla3[[Nombre]:[Ud]],5,FALSE)*Tabla5[[#This Row],[Cantidad 30]],0)</f>
        <v>0</v>
      </c>
    </row>
    <row r="42" spans="1:97" x14ac:dyDescent="0.35">
      <c r="A42">
        <v>40</v>
      </c>
      <c r="D42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42" s="1">
        <f>Tabla5[[#This Row],[Minutos]]*Tabla13[[#Totals],[Precio Unitario]]</f>
        <v>0</v>
      </c>
      <c r="G42" s="1">
        <f>IFERROR(VLOOKUP(Tabla5[[#This Row],[Persona]],Tabla1[[Nombre]:[Ud]],7,FALSE) *Tabla5[[#This Row],[Minutos]],0)</f>
        <v>0</v>
      </c>
      <c r="J42" s="1">
        <f>IFERROR(VLOOKUP(Tabla5[[#This Row],[Producto 1]],Tabla3[[Nombre]:[Ud]],5,FALSE)*Tabla5[[#This Row],[Cantidad 1]],0)</f>
        <v>0</v>
      </c>
      <c r="M42" s="1">
        <f>IFERROR(VLOOKUP(Tabla5[[#This Row],[Producto 2]],Tabla3[[Nombre]:[Ud]],5,FALSE)*Tabla5[[#This Row],[Cantidad 2]],0)</f>
        <v>0</v>
      </c>
      <c r="P42" s="1">
        <f>IFERROR(VLOOKUP(Tabla5[[#This Row],[Producto 3]],Tabla3[[Nombre]:[Ud]],5,FALSE)*Tabla5[[#This Row],[Cantidad 3]],0)</f>
        <v>0</v>
      </c>
      <c r="S42" s="1">
        <f>IFERROR(VLOOKUP(Tabla5[[#This Row],[Producto 4]],Tabla3[[Nombre]:[Ud]],5,FALSE)*Tabla5[[#This Row],[Cantidad 4]],0)</f>
        <v>0</v>
      </c>
      <c r="V42" s="1">
        <f>IFERROR(VLOOKUP(Tabla5[[#This Row],[Producto 5]],Tabla3[[Nombre]:[Ud]],5,FALSE)*Tabla5[[#This Row],[Cantidad 5]],0)</f>
        <v>0</v>
      </c>
      <c r="Y42" s="1">
        <f>IFERROR(VLOOKUP(Tabla5[[#This Row],[Producto 6]],Tabla3[[Nombre]:[Ud]],5,FALSE)*Tabla5[[#This Row],[Cantidad 6]],0)</f>
        <v>0</v>
      </c>
      <c r="AB42" s="1">
        <f>IFERROR(VLOOKUP(Tabla5[[#This Row],[Producto 7]],Tabla3[[Nombre]:[Ud]],5,FALSE)*Tabla5[[#This Row],[Cantidad 7]],0)</f>
        <v>0</v>
      </c>
      <c r="AE42" s="1">
        <f>IFERROR(VLOOKUP(Tabla5[[#This Row],[Producto 8]],Tabla3[[Nombre]:[Ud]],5,FALSE)*Tabla5[[#This Row],[Cantidad 8]],0)</f>
        <v>0</v>
      </c>
      <c r="AH42" s="1">
        <f>IFERROR(VLOOKUP(Tabla5[[#This Row],[Producto 9]],Tabla3[[Nombre]:[Ud]],5,FALSE)*Tabla5[[#This Row],[Cantidad 9]],0)</f>
        <v>0</v>
      </c>
      <c r="AK42" s="1">
        <f>IFERROR(VLOOKUP(Tabla5[[#This Row],[Producto 10]],Tabla3[[Nombre]:[Ud]],5,FALSE)*Tabla5[[#This Row],[Cantidad 10]],0)</f>
        <v>0</v>
      </c>
      <c r="AN42" s="1">
        <f>IFERROR(VLOOKUP(Tabla5[[#This Row],[Producto 11]],Tabla3[[Nombre]:[Ud]],5,FALSE)*Tabla5[[#This Row],[Cantidad 11]],0)</f>
        <v>0</v>
      </c>
      <c r="AQ42" s="1">
        <f>IFERROR(VLOOKUP(Tabla5[[#This Row],[Producto 12]],Tabla3[[Nombre]:[Ud]],5,FALSE)*Tabla5[[#This Row],[Cantidad 12]],0)</f>
        <v>0</v>
      </c>
      <c r="AT42" s="1">
        <f>IFERROR(VLOOKUP(Tabla5[[#This Row],[Producto 13]],Tabla3[[Nombre]:[Ud]],5,FALSE)*Tabla5[[#This Row],[Cantidad 13]],0)</f>
        <v>0</v>
      </c>
      <c r="AW42" s="1">
        <f>IFERROR(VLOOKUP(Tabla5[[#This Row],[Producto 14]],Tabla3[[Nombre]:[Ud]],5,FALSE)*Tabla5[[#This Row],[Cantidad 14]],0)</f>
        <v>0</v>
      </c>
      <c r="AZ42" s="1">
        <f>IFERROR(VLOOKUP(Tabla5[[#This Row],[Producto 15]],Tabla3[[Nombre]:[Ud]],5,FALSE)*Tabla5[[#This Row],[Cantidad 15]],0)</f>
        <v>0</v>
      </c>
      <c r="BC42" s="1">
        <f>IFERROR(VLOOKUP(Tabla5[[#This Row],[Producto 16]],Tabla3[[Nombre]:[Ud]],5,FALSE)*Tabla5[[#This Row],[Cantidad 16]],0)</f>
        <v>0</v>
      </c>
      <c r="BF42" s="1">
        <f>IFERROR(VLOOKUP(Tabla5[[#This Row],[Producto 17]],Tabla3[[Nombre]:[Ud]],5,FALSE)*Tabla5[[#This Row],[Cantidad 17]],0)</f>
        <v>0</v>
      </c>
      <c r="BI42" s="1">
        <f>IFERROR(VLOOKUP(Tabla5[[#This Row],[Producto 18]],Tabla3[[Nombre]:[Ud]],5,FALSE)*Tabla5[[#This Row],[Cantidad 18]],0)</f>
        <v>0</v>
      </c>
      <c r="BL42" s="1">
        <f>IFERROR(VLOOKUP(Tabla5[[#This Row],[Producto 19]],Tabla3[[Nombre]:[Ud]],5,FALSE)*Tabla5[[#This Row],[Cantidad 19]],0)</f>
        <v>0</v>
      </c>
      <c r="BO42" s="1">
        <f>IFERROR(VLOOKUP(Tabla5[[#This Row],[Producto 20]],Tabla3[[Nombre]:[Ud]],5,FALSE)*Tabla5[[#This Row],[Cantidad 20]],0)</f>
        <v>0</v>
      </c>
      <c r="BR42" s="1">
        <f>IFERROR(VLOOKUP(Tabla5[[#This Row],[Producto 21]],Tabla3[[Nombre]:[Ud]],5,FALSE)*Tabla5[[#This Row],[Cantidad 21]],0)</f>
        <v>0</v>
      </c>
      <c r="BU42" s="1">
        <f>IFERROR(VLOOKUP(Tabla5[[#This Row],[Producto 22]],Tabla3[[Nombre]:[Ud]],5,FALSE)*Tabla5[[#This Row],[Cantidad 22]],0)</f>
        <v>0</v>
      </c>
      <c r="BX42" s="1">
        <f>IFERROR(VLOOKUP(Tabla5[[#This Row],[Producto 23]],Tabla3[[Nombre]:[Ud]],5,FALSE)*Tabla5[[#This Row],[Cantidad 23]],0)</f>
        <v>0</v>
      </c>
      <c r="CA42" s="1">
        <f>IFERROR(VLOOKUP(Tabla5[[#This Row],[Producto 24]],Tabla3[[Nombre]:[Ud]],5,FALSE)*Tabla5[[#This Row],[Cantidad 24]],0)</f>
        <v>0</v>
      </c>
      <c r="CD42" s="1">
        <f>IFERROR(VLOOKUP(Tabla5[[#This Row],[Producto 25]],Tabla3[[Nombre]:[Ud]],5,FALSE)*Tabla5[[#This Row],[Cantidad 25]],0)</f>
        <v>0</v>
      </c>
      <c r="CG42" s="1">
        <f>IFERROR(VLOOKUP(Tabla5[[#This Row],[Producto 26]],Tabla3[[Nombre]:[Ud]],5,FALSE)*Tabla5[[#This Row],[Cantidad 26]],0)</f>
        <v>0</v>
      </c>
      <c r="CJ42" s="1">
        <f>IFERROR(VLOOKUP(Tabla5[[#This Row],[Producto 27]],Tabla3[[Nombre]:[Ud]],5,FALSE)*Tabla5[[#This Row],[Cantidad 27]],0)</f>
        <v>0</v>
      </c>
      <c r="CM42" s="1">
        <f>IFERROR(VLOOKUP(Tabla5[[#This Row],[Producto 28]],Tabla3[[Nombre]:[Ud]],5,FALSE)*Tabla5[[#This Row],[Cantidad 28]],0)</f>
        <v>0</v>
      </c>
      <c r="CP42" s="1">
        <f>IFERROR(VLOOKUP(Tabla5[[#This Row],[Producto 29]],Tabla3[[Nombre]:[Ud]],5,FALSE)*Tabla5[[#This Row],[Cantidad 29]],0)</f>
        <v>0</v>
      </c>
      <c r="CS42" s="1">
        <f>IFERROR(VLOOKUP(Tabla5[[#This Row],[Producto 30]],Tabla3[[Nombre]:[Ud]],5,FALSE)*Tabla5[[#This Row],[Cantidad 30]],0)</f>
        <v>0</v>
      </c>
    </row>
    <row r="43" spans="1:97" x14ac:dyDescent="0.35">
      <c r="A43">
        <v>41</v>
      </c>
      <c r="D43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43" s="1">
        <f>Tabla5[[#This Row],[Minutos]]*Tabla13[[#Totals],[Precio Unitario]]</f>
        <v>0</v>
      </c>
      <c r="G43" s="1">
        <f>IFERROR(VLOOKUP(Tabla5[[#This Row],[Persona]],Tabla1[[Nombre]:[Ud]],7,FALSE) *Tabla5[[#This Row],[Minutos]],0)</f>
        <v>0</v>
      </c>
      <c r="J43" s="1">
        <f>IFERROR(VLOOKUP(Tabla5[[#This Row],[Producto 1]],Tabla3[[Nombre]:[Ud]],5,FALSE)*Tabla5[[#This Row],[Cantidad 1]],0)</f>
        <v>0</v>
      </c>
      <c r="M43" s="1">
        <f>IFERROR(VLOOKUP(Tabla5[[#This Row],[Producto 2]],Tabla3[[Nombre]:[Ud]],5,FALSE)*Tabla5[[#This Row],[Cantidad 2]],0)</f>
        <v>0</v>
      </c>
      <c r="P43" s="1">
        <f>IFERROR(VLOOKUP(Tabla5[[#This Row],[Producto 3]],Tabla3[[Nombre]:[Ud]],5,FALSE)*Tabla5[[#This Row],[Cantidad 3]],0)</f>
        <v>0</v>
      </c>
      <c r="S43" s="1">
        <f>IFERROR(VLOOKUP(Tabla5[[#This Row],[Producto 4]],Tabla3[[Nombre]:[Ud]],5,FALSE)*Tabla5[[#This Row],[Cantidad 4]],0)</f>
        <v>0</v>
      </c>
      <c r="V43" s="1">
        <f>IFERROR(VLOOKUP(Tabla5[[#This Row],[Producto 5]],Tabla3[[Nombre]:[Ud]],5,FALSE)*Tabla5[[#This Row],[Cantidad 5]],0)</f>
        <v>0</v>
      </c>
      <c r="Y43" s="1">
        <f>IFERROR(VLOOKUP(Tabla5[[#This Row],[Producto 6]],Tabla3[[Nombre]:[Ud]],5,FALSE)*Tabla5[[#This Row],[Cantidad 6]],0)</f>
        <v>0</v>
      </c>
      <c r="AB43" s="1">
        <f>IFERROR(VLOOKUP(Tabla5[[#This Row],[Producto 7]],Tabla3[[Nombre]:[Ud]],5,FALSE)*Tabla5[[#This Row],[Cantidad 7]],0)</f>
        <v>0</v>
      </c>
      <c r="AE43" s="1">
        <f>IFERROR(VLOOKUP(Tabla5[[#This Row],[Producto 8]],Tabla3[[Nombre]:[Ud]],5,FALSE)*Tabla5[[#This Row],[Cantidad 8]],0)</f>
        <v>0</v>
      </c>
      <c r="AH43" s="1">
        <f>IFERROR(VLOOKUP(Tabla5[[#This Row],[Producto 9]],Tabla3[[Nombre]:[Ud]],5,FALSE)*Tabla5[[#This Row],[Cantidad 9]],0)</f>
        <v>0</v>
      </c>
      <c r="AK43" s="1">
        <f>IFERROR(VLOOKUP(Tabla5[[#This Row],[Producto 10]],Tabla3[[Nombre]:[Ud]],5,FALSE)*Tabla5[[#This Row],[Cantidad 10]],0)</f>
        <v>0</v>
      </c>
      <c r="AN43" s="1">
        <f>IFERROR(VLOOKUP(Tabla5[[#This Row],[Producto 11]],Tabla3[[Nombre]:[Ud]],5,FALSE)*Tabla5[[#This Row],[Cantidad 11]],0)</f>
        <v>0</v>
      </c>
      <c r="AQ43" s="1">
        <f>IFERROR(VLOOKUP(Tabla5[[#This Row],[Producto 12]],Tabla3[[Nombre]:[Ud]],5,FALSE)*Tabla5[[#This Row],[Cantidad 12]],0)</f>
        <v>0</v>
      </c>
      <c r="AT43" s="1">
        <f>IFERROR(VLOOKUP(Tabla5[[#This Row],[Producto 13]],Tabla3[[Nombre]:[Ud]],5,FALSE)*Tabla5[[#This Row],[Cantidad 13]],0)</f>
        <v>0</v>
      </c>
      <c r="AW43" s="1">
        <f>IFERROR(VLOOKUP(Tabla5[[#This Row],[Producto 14]],Tabla3[[Nombre]:[Ud]],5,FALSE)*Tabla5[[#This Row],[Cantidad 14]],0)</f>
        <v>0</v>
      </c>
      <c r="AZ43" s="1">
        <f>IFERROR(VLOOKUP(Tabla5[[#This Row],[Producto 15]],Tabla3[[Nombre]:[Ud]],5,FALSE)*Tabla5[[#This Row],[Cantidad 15]],0)</f>
        <v>0</v>
      </c>
      <c r="BC43" s="1">
        <f>IFERROR(VLOOKUP(Tabla5[[#This Row],[Producto 16]],Tabla3[[Nombre]:[Ud]],5,FALSE)*Tabla5[[#This Row],[Cantidad 16]],0)</f>
        <v>0</v>
      </c>
      <c r="BF43" s="1">
        <f>IFERROR(VLOOKUP(Tabla5[[#This Row],[Producto 17]],Tabla3[[Nombre]:[Ud]],5,FALSE)*Tabla5[[#This Row],[Cantidad 17]],0)</f>
        <v>0</v>
      </c>
      <c r="BI43" s="1">
        <f>IFERROR(VLOOKUP(Tabla5[[#This Row],[Producto 18]],Tabla3[[Nombre]:[Ud]],5,FALSE)*Tabla5[[#This Row],[Cantidad 18]],0)</f>
        <v>0</v>
      </c>
      <c r="BL43" s="1">
        <f>IFERROR(VLOOKUP(Tabla5[[#This Row],[Producto 19]],Tabla3[[Nombre]:[Ud]],5,FALSE)*Tabla5[[#This Row],[Cantidad 19]],0)</f>
        <v>0</v>
      </c>
      <c r="BO43" s="1">
        <f>IFERROR(VLOOKUP(Tabla5[[#This Row],[Producto 20]],Tabla3[[Nombre]:[Ud]],5,FALSE)*Tabla5[[#This Row],[Cantidad 20]],0)</f>
        <v>0</v>
      </c>
      <c r="BR43" s="1">
        <f>IFERROR(VLOOKUP(Tabla5[[#This Row],[Producto 21]],Tabla3[[Nombre]:[Ud]],5,FALSE)*Tabla5[[#This Row],[Cantidad 21]],0)</f>
        <v>0</v>
      </c>
      <c r="BU43" s="1">
        <f>IFERROR(VLOOKUP(Tabla5[[#This Row],[Producto 22]],Tabla3[[Nombre]:[Ud]],5,FALSE)*Tabla5[[#This Row],[Cantidad 22]],0)</f>
        <v>0</v>
      </c>
      <c r="BX43" s="1">
        <f>IFERROR(VLOOKUP(Tabla5[[#This Row],[Producto 23]],Tabla3[[Nombre]:[Ud]],5,FALSE)*Tabla5[[#This Row],[Cantidad 23]],0)</f>
        <v>0</v>
      </c>
      <c r="CA43" s="1">
        <f>IFERROR(VLOOKUP(Tabla5[[#This Row],[Producto 24]],Tabla3[[Nombre]:[Ud]],5,FALSE)*Tabla5[[#This Row],[Cantidad 24]],0)</f>
        <v>0</v>
      </c>
      <c r="CD43" s="1">
        <f>IFERROR(VLOOKUP(Tabla5[[#This Row],[Producto 25]],Tabla3[[Nombre]:[Ud]],5,FALSE)*Tabla5[[#This Row],[Cantidad 25]],0)</f>
        <v>0</v>
      </c>
      <c r="CG43" s="1">
        <f>IFERROR(VLOOKUP(Tabla5[[#This Row],[Producto 26]],Tabla3[[Nombre]:[Ud]],5,FALSE)*Tabla5[[#This Row],[Cantidad 26]],0)</f>
        <v>0</v>
      </c>
      <c r="CJ43" s="1">
        <f>IFERROR(VLOOKUP(Tabla5[[#This Row],[Producto 27]],Tabla3[[Nombre]:[Ud]],5,FALSE)*Tabla5[[#This Row],[Cantidad 27]],0)</f>
        <v>0</v>
      </c>
      <c r="CM43" s="1">
        <f>IFERROR(VLOOKUP(Tabla5[[#This Row],[Producto 28]],Tabla3[[Nombre]:[Ud]],5,FALSE)*Tabla5[[#This Row],[Cantidad 28]],0)</f>
        <v>0</v>
      </c>
      <c r="CP43" s="1">
        <f>IFERROR(VLOOKUP(Tabla5[[#This Row],[Producto 29]],Tabla3[[Nombre]:[Ud]],5,FALSE)*Tabla5[[#This Row],[Cantidad 29]],0)</f>
        <v>0</v>
      </c>
      <c r="CS43" s="1">
        <f>IFERROR(VLOOKUP(Tabla5[[#This Row],[Producto 30]],Tabla3[[Nombre]:[Ud]],5,FALSE)*Tabla5[[#This Row],[Cantidad 30]],0)</f>
        <v>0</v>
      </c>
    </row>
    <row r="44" spans="1:97" x14ac:dyDescent="0.35">
      <c r="A44">
        <v>42</v>
      </c>
      <c r="D44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44" s="1">
        <f>Tabla5[[#This Row],[Minutos]]*Tabla13[[#Totals],[Precio Unitario]]</f>
        <v>0</v>
      </c>
      <c r="G44" s="1">
        <f>IFERROR(VLOOKUP(Tabla5[[#This Row],[Persona]],Tabla1[[Nombre]:[Ud]],7,FALSE) *Tabla5[[#This Row],[Minutos]],0)</f>
        <v>0</v>
      </c>
      <c r="J44" s="1">
        <f>IFERROR(VLOOKUP(Tabla5[[#This Row],[Producto 1]],Tabla3[[Nombre]:[Ud]],5,FALSE)*Tabla5[[#This Row],[Cantidad 1]],0)</f>
        <v>0</v>
      </c>
      <c r="M44" s="1">
        <f>IFERROR(VLOOKUP(Tabla5[[#This Row],[Producto 2]],Tabla3[[Nombre]:[Ud]],5,FALSE)*Tabla5[[#This Row],[Cantidad 2]],0)</f>
        <v>0</v>
      </c>
      <c r="P44" s="1">
        <f>IFERROR(VLOOKUP(Tabla5[[#This Row],[Producto 3]],Tabla3[[Nombre]:[Ud]],5,FALSE)*Tabla5[[#This Row],[Cantidad 3]],0)</f>
        <v>0</v>
      </c>
      <c r="S44" s="1">
        <f>IFERROR(VLOOKUP(Tabla5[[#This Row],[Producto 4]],Tabla3[[Nombre]:[Ud]],5,FALSE)*Tabla5[[#This Row],[Cantidad 4]],0)</f>
        <v>0</v>
      </c>
      <c r="V44" s="1">
        <f>IFERROR(VLOOKUP(Tabla5[[#This Row],[Producto 5]],Tabla3[[Nombre]:[Ud]],5,FALSE)*Tabla5[[#This Row],[Cantidad 5]],0)</f>
        <v>0</v>
      </c>
      <c r="Y44" s="1">
        <f>IFERROR(VLOOKUP(Tabla5[[#This Row],[Producto 6]],Tabla3[[Nombre]:[Ud]],5,FALSE)*Tabla5[[#This Row],[Cantidad 6]],0)</f>
        <v>0</v>
      </c>
      <c r="AB44" s="1">
        <f>IFERROR(VLOOKUP(Tabla5[[#This Row],[Producto 7]],Tabla3[[Nombre]:[Ud]],5,FALSE)*Tabla5[[#This Row],[Cantidad 7]],0)</f>
        <v>0</v>
      </c>
      <c r="AE44" s="1">
        <f>IFERROR(VLOOKUP(Tabla5[[#This Row],[Producto 8]],Tabla3[[Nombre]:[Ud]],5,FALSE)*Tabla5[[#This Row],[Cantidad 8]],0)</f>
        <v>0</v>
      </c>
      <c r="AH44" s="1">
        <f>IFERROR(VLOOKUP(Tabla5[[#This Row],[Producto 9]],Tabla3[[Nombre]:[Ud]],5,FALSE)*Tabla5[[#This Row],[Cantidad 9]],0)</f>
        <v>0</v>
      </c>
      <c r="AK44" s="1">
        <f>IFERROR(VLOOKUP(Tabla5[[#This Row],[Producto 10]],Tabla3[[Nombre]:[Ud]],5,FALSE)*Tabla5[[#This Row],[Cantidad 10]],0)</f>
        <v>0</v>
      </c>
      <c r="AN44" s="1">
        <f>IFERROR(VLOOKUP(Tabla5[[#This Row],[Producto 11]],Tabla3[[Nombre]:[Ud]],5,FALSE)*Tabla5[[#This Row],[Cantidad 11]],0)</f>
        <v>0</v>
      </c>
      <c r="AQ44" s="1">
        <f>IFERROR(VLOOKUP(Tabla5[[#This Row],[Producto 12]],Tabla3[[Nombre]:[Ud]],5,FALSE)*Tabla5[[#This Row],[Cantidad 12]],0)</f>
        <v>0</v>
      </c>
      <c r="AT44" s="1">
        <f>IFERROR(VLOOKUP(Tabla5[[#This Row],[Producto 13]],Tabla3[[Nombre]:[Ud]],5,FALSE)*Tabla5[[#This Row],[Cantidad 13]],0)</f>
        <v>0</v>
      </c>
      <c r="AW44" s="1">
        <f>IFERROR(VLOOKUP(Tabla5[[#This Row],[Producto 14]],Tabla3[[Nombre]:[Ud]],5,FALSE)*Tabla5[[#This Row],[Cantidad 14]],0)</f>
        <v>0</v>
      </c>
      <c r="AZ44" s="1">
        <f>IFERROR(VLOOKUP(Tabla5[[#This Row],[Producto 15]],Tabla3[[Nombre]:[Ud]],5,FALSE)*Tabla5[[#This Row],[Cantidad 15]],0)</f>
        <v>0</v>
      </c>
      <c r="BC44" s="1">
        <f>IFERROR(VLOOKUP(Tabla5[[#This Row],[Producto 16]],Tabla3[[Nombre]:[Ud]],5,FALSE)*Tabla5[[#This Row],[Cantidad 16]],0)</f>
        <v>0</v>
      </c>
      <c r="BF44" s="1">
        <f>IFERROR(VLOOKUP(Tabla5[[#This Row],[Producto 17]],Tabla3[[Nombre]:[Ud]],5,FALSE)*Tabla5[[#This Row],[Cantidad 17]],0)</f>
        <v>0</v>
      </c>
      <c r="BI44" s="1">
        <f>IFERROR(VLOOKUP(Tabla5[[#This Row],[Producto 18]],Tabla3[[Nombre]:[Ud]],5,FALSE)*Tabla5[[#This Row],[Cantidad 18]],0)</f>
        <v>0</v>
      </c>
      <c r="BL44" s="1">
        <f>IFERROR(VLOOKUP(Tabla5[[#This Row],[Producto 19]],Tabla3[[Nombre]:[Ud]],5,FALSE)*Tabla5[[#This Row],[Cantidad 19]],0)</f>
        <v>0</v>
      </c>
      <c r="BO44" s="1">
        <f>IFERROR(VLOOKUP(Tabla5[[#This Row],[Producto 20]],Tabla3[[Nombre]:[Ud]],5,FALSE)*Tabla5[[#This Row],[Cantidad 20]],0)</f>
        <v>0</v>
      </c>
      <c r="BR44" s="1">
        <f>IFERROR(VLOOKUP(Tabla5[[#This Row],[Producto 21]],Tabla3[[Nombre]:[Ud]],5,FALSE)*Tabla5[[#This Row],[Cantidad 21]],0)</f>
        <v>0</v>
      </c>
      <c r="BU44" s="1">
        <f>IFERROR(VLOOKUP(Tabla5[[#This Row],[Producto 22]],Tabla3[[Nombre]:[Ud]],5,FALSE)*Tabla5[[#This Row],[Cantidad 22]],0)</f>
        <v>0</v>
      </c>
      <c r="BX44" s="1">
        <f>IFERROR(VLOOKUP(Tabla5[[#This Row],[Producto 23]],Tabla3[[Nombre]:[Ud]],5,FALSE)*Tabla5[[#This Row],[Cantidad 23]],0)</f>
        <v>0</v>
      </c>
      <c r="CA44" s="1">
        <f>IFERROR(VLOOKUP(Tabla5[[#This Row],[Producto 24]],Tabla3[[Nombre]:[Ud]],5,FALSE)*Tabla5[[#This Row],[Cantidad 24]],0)</f>
        <v>0</v>
      </c>
      <c r="CD44" s="1">
        <f>IFERROR(VLOOKUP(Tabla5[[#This Row],[Producto 25]],Tabla3[[Nombre]:[Ud]],5,FALSE)*Tabla5[[#This Row],[Cantidad 25]],0)</f>
        <v>0</v>
      </c>
      <c r="CG44" s="1">
        <f>IFERROR(VLOOKUP(Tabla5[[#This Row],[Producto 26]],Tabla3[[Nombre]:[Ud]],5,FALSE)*Tabla5[[#This Row],[Cantidad 26]],0)</f>
        <v>0</v>
      </c>
      <c r="CJ44" s="1">
        <f>IFERROR(VLOOKUP(Tabla5[[#This Row],[Producto 27]],Tabla3[[Nombre]:[Ud]],5,FALSE)*Tabla5[[#This Row],[Cantidad 27]],0)</f>
        <v>0</v>
      </c>
      <c r="CM44" s="1">
        <f>IFERROR(VLOOKUP(Tabla5[[#This Row],[Producto 28]],Tabla3[[Nombre]:[Ud]],5,FALSE)*Tabla5[[#This Row],[Cantidad 28]],0)</f>
        <v>0</v>
      </c>
      <c r="CP44" s="1">
        <f>IFERROR(VLOOKUP(Tabla5[[#This Row],[Producto 29]],Tabla3[[Nombre]:[Ud]],5,FALSE)*Tabla5[[#This Row],[Cantidad 29]],0)</f>
        <v>0</v>
      </c>
      <c r="CS44" s="1">
        <f>IFERROR(VLOOKUP(Tabla5[[#This Row],[Producto 30]],Tabla3[[Nombre]:[Ud]],5,FALSE)*Tabla5[[#This Row],[Cantidad 30]],0)</f>
        <v>0</v>
      </c>
    </row>
    <row r="45" spans="1:97" x14ac:dyDescent="0.35">
      <c r="A45">
        <v>43</v>
      </c>
      <c r="D45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45" s="1">
        <f>Tabla5[[#This Row],[Minutos]]*Tabla13[[#Totals],[Precio Unitario]]</f>
        <v>0</v>
      </c>
      <c r="G45" s="1">
        <f>IFERROR(VLOOKUP(Tabla5[[#This Row],[Persona]],Tabla1[[Nombre]:[Ud]],7,FALSE) *Tabla5[[#This Row],[Minutos]],0)</f>
        <v>0</v>
      </c>
      <c r="J45" s="1">
        <f>IFERROR(VLOOKUP(Tabla5[[#This Row],[Producto 1]],Tabla3[[Nombre]:[Ud]],5,FALSE)*Tabla5[[#This Row],[Cantidad 1]],0)</f>
        <v>0</v>
      </c>
      <c r="M45" s="1">
        <f>IFERROR(VLOOKUP(Tabla5[[#This Row],[Producto 2]],Tabla3[[Nombre]:[Ud]],5,FALSE)*Tabla5[[#This Row],[Cantidad 2]],0)</f>
        <v>0</v>
      </c>
      <c r="P45" s="1">
        <f>IFERROR(VLOOKUP(Tabla5[[#This Row],[Producto 3]],Tabla3[[Nombre]:[Ud]],5,FALSE)*Tabla5[[#This Row],[Cantidad 3]],0)</f>
        <v>0</v>
      </c>
      <c r="S45" s="1">
        <f>IFERROR(VLOOKUP(Tabla5[[#This Row],[Producto 4]],Tabla3[[Nombre]:[Ud]],5,FALSE)*Tabla5[[#This Row],[Cantidad 4]],0)</f>
        <v>0</v>
      </c>
      <c r="V45" s="1">
        <f>IFERROR(VLOOKUP(Tabla5[[#This Row],[Producto 5]],Tabla3[[Nombre]:[Ud]],5,FALSE)*Tabla5[[#This Row],[Cantidad 5]],0)</f>
        <v>0</v>
      </c>
      <c r="Y45" s="1">
        <f>IFERROR(VLOOKUP(Tabla5[[#This Row],[Producto 6]],Tabla3[[Nombre]:[Ud]],5,FALSE)*Tabla5[[#This Row],[Cantidad 6]],0)</f>
        <v>0</v>
      </c>
      <c r="AB45" s="1">
        <f>IFERROR(VLOOKUP(Tabla5[[#This Row],[Producto 7]],Tabla3[[Nombre]:[Ud]],5,FALSE)*Tabla5[[#This Row],[Cantidad 7]],0)</f>
        <v>0</v>
      </c>
      <c r="AE45" s="1">
        <f>IFERROR(VLOOKUP(Tabla5[[#This Row],[Producto 8]],Tabla3[[Nombre]:[Ud]],5,FALSE)*Tabla5[[#This Row],[Cantidad 8]],0)</f>
        <v>0</v>
      </c>
      <c r="AH45" s="1">
        <f>IFERROR(VLOOKUP(Tabla5[[#This Row],[Producto 9]],Tabla3[[Nombre]:[Ud]],5,FALSE)*Tabla5[[#This Row],[Cantidad 9]],0)</f>
        <v>0</v>
      </c>
      <c r="AK45" s="1">
        <f>IFERROR(VLOOKUP(Tabla5[[#This Row],[Producto 10]],Tabla3[[Nombre]:[Ud]],5,FALSE)*Tabla5[[#This Row],[Cantidad 10]],0)</f>
        <v>0</v>
      </c>
      <c r="AN45" s="1">
        <f>IFERROR(VLOOKUP(Tabla5[[#This Row],[Producto 11]],Tabla3[[Nombre]:[Ud]],5,FALSE)*Tabla5[[#This Row],[Cantidad 11]],0)</f>
        <v>0</v>
      </c>
      <c r="AQ45" s="1">
        <f>IFERROR(VLOOKUP(Tabla5[[#This Row],[Producto 12]],Tabla3[[Nombre]:[Ud]],5,FALSE)*Tabla5[[#This Row],[Cantidad 12]],0)</f>
        <v>0</v>
      </c>
      <c r="AT45" s="1">
        <f>IFERROR(VLOOKUP(Tabla5[[#This Row],[Producto 13]],Tabla3[[Nombre]:[Ud]],5,FALSE)*Tabla5[[#This Row],[Cantidad 13]],0)</f>
        <v>0</v>
      </c>
      <c r="AW45" s="1">
        <f>IFERROR(VLOOKUP(Tabla5[[#This Row],[Producto 14]],Tabla3[[Nombre]:[Ud]],5,FALSE)*Tabla5[[#This Row],[Cantidad 14]],0)</f>
        <v>0</v>
      </c>
      <c r="AZ45" s="1">
        <f>IFERROR(VLOOKUP(Tabla5[[#This Row],[Producto 15]],Tabla3[[Nombre]:[Ud]],5,FALSE)*Tabla5[[#This Row],[Cantidad 15]],0)</f>
        <v>0</v>
      </c>
      <c r="BC45" s="1">
        <f>IFERROR(VLOOKUP(Tabla5[[#This Row],[Producto 16]],Tabla3[[Nombre]:[Ud]],5,FALSE)*Tabla5[[#This Row],[Cantidad 16]],0)</f>
        <v>0</v>
      </c>
      <c r="BF45" s="1">
        <f>IFERROR(VLOOKUP(Tabla5[[#This Row],[Producto 17]],Tabla3[[Nombre]:[Ud]],5,FALSE)*Tabla5[[#This Row],[Cantidad 17]],0)</f>
        <v>0</v>
      </c>
      <c r="BI45" s="1">
        <f>IFERROR(VLOOKUP(Tabla5[[#This Row],[Producto 18]],Tabla3[[Nombre]:[Ud]],5,FALSE)*Tabla5[[#This Row],[Cantidad 18]],0)</f>
        <v>0</v>
      </c>
      <c r="BL45" s="1">
        <f>IFERROR(VLOOKUP(Tabla5[[#This Row],[Producto 19]],Tabla3[[Nombre]:[Ud]],5,FALSE)*Tabla5[[#This Row],[Cantidad 19]],0)</f>
        <v>0</v>
      </c>
      <c r="BO45" s="1">
        <f>IFERROR(VLOOKUP(Tabla5[[#This Row],[Producto 20]],Tabla3[[Nombre]:[Ud]],5,FALSE)*Tabla5[[#This Row],[Cantidad 20]],0)</f>
        <v>0</v>
      </c>
      <c r="BR45" s="1">
        <f>IFERROR(VLOOKUP(Tabla5[[#This Row],[Producto 21]],Tabla3[[Nombre]:[Ud]],5,FALSE)*Tabla5[[#This Row],[Cantidad 21]],0)</f>
        <v>0</v>
      </c>
      <c r="BU45" s="1">
        <f>IFERROR(VLOOKUP(Tabla5[[#This Row],[Producto 22]],Tabla3[[Nombre]:[Ud]],5,FALSE)*Tabla5[[#This Row],[Cantidad 22]],0)</f>
        <v>0</v>
      </c>
      <c r="BX45" s="1">
        <f>IFERROR(VLOOKUP(Tabla5[[#This Row],[Producto 23]],Tabla3[[Nombre]:[Ud]],5,FALSE)*Tabla5[[#This Row],[Cantidad 23]],0)</f>
        <v>0</v>
      </c>
      <c r="CA45" s="1">
        <f>IFERROR(VLOOKUP(Tabla5[[#This Row],[Producto 24]],Tabla3[[Nombre]:[Ud]],5,FALSE)*Tabla5[[#This Row],[Cantidad 24]],0)</f>
        <v>0</v>
      </c>
      <c r="CD45" s="1">
        <f>IFERROR(VLOOKUP(Tabla5[[#This Row],[Producto 25]],Tabla3[[Nombre]:[Ud]],5,FALSE)*Tabla5[[#This Row],[Cantidad 25]],0)</f>
        <v>0</v>
      </c>
      <c r="CG45" s="1">
        <f>IFERROR(VLOOKUP(Tabla5[[#This Row],[Producto 26]],Tabla3[[Nombre]:[Ud]],5,FALSE)*Tabla5[[#This Row],[Cantidad 26]],0)</f>
        <v>0</v>
      </c>
      <c r="CJ45" s="1">
        <f>IFERROR(VLOOKUP(Tabla5[[#This Row],[Producto 27]],Tabla3[[Nombre]:[Ud]],5,FALSE)*Tabla5[[#This Row],[Cantidad 27]],0)</f>
        <v>0</v>
      </c>
      <c r="CM45" s="1">
        <f>IFERROR(VLOOKUP(Tabla5[[#This Row],[Producto 28]],Tabla3[[Nombre]:[Ud]],5,FALSE)*Tabla5[[#This Row],[Cantidad 28]],0)</f>
        <v>0</v>
      </c>
      <c r="CP45" s="1">
        <f>IFERROR(VLOOKUP(Tabla5[[#This Row],[Producto 29]],Tabla3[[Nombre]:[Ud]],5,FALSE)*Tabla5[[#This Row],[Cantidad 29]],0)</f>
        <v>0</v>
      </c>
      <c r="CS45" s="1">
        <f>IFERROR(VLOOKUP(Tabla5[[#This Row],[Producto 30]],Tabla3[[Nombre]:[Ud]],5,FALSE)*Tabla5[[#This Row],[Cantidad 30]],0)</f>
        <v>0</v>
      </c>
    </row>
    <row r="46" spans="1:97" x14ac:dyDescent="0.35">
      <c r="A46">
        <v>44</v>
      </c>
      <c r="D46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46" s="1">
        <f>Tabla5[[#This Row],[Minutos]]*Tabla13[[#Totals],[Precio Unitario]]</f>
        <v>0</v>
      </c>
      <c r="G46" s="1">
        <f>IFERROR(VLOOKUP(Tabla5[[#This Row],[Persona]],Tabla1[[Nombre]:[Ud]],7,FALSE) *Tabla5[[#This Row],[Minutos]],0)</f>
        <v>0</v>
      </c>
      <c r="J46" s="1">
        <f>IFERROR(VLOOKUP(Tabla5[[#This Row],[Producto 1]],Tabla3[[Nombre]:[Ud]],5,FALSE)*Tabla5[[#This Row],[Cantidad 1]],0)</f>
        <v>0</v>
      </c>
      <c r="M46" s="1">
        <f>IFERROR(VLOOKUP(Tabla5[[#This Row],[Producto 2]],Tabla3[[Nombre]:[Ud]],5,FALSE)*Tabla5[[#This Row],[Cantidad 2]],0)</f>
        <v>0</v>
      </c>
      <c r="P46" s="1">
        <f>IFERROR(VLOOKUP(Tabla5[[#This Row],[Producto 3]],Tabla3[[Nombre]:[Ud]],5,FALSE)*Tabla5[[#This Row],[Cantidad 3]],0)</f>
        <v>0</v>
      </c>
      <c r="S46" s="1">
        <f>IFERROR(VLOOKUP(Tabla5[[#This Row],[Producto 4]],Tabla3[[Nombre]:[Ud]],5,FALSE)*Tabla5[[#This Row],[Cantidad 4]],0)</f>
        <v>0</v>
      </c>
      <c r="V46" s="1">
        <f>IFERROR(VLOOKUP(Tabla5[[#This Row],[Producto 5]],Tabla3[[Nombre]:[Ud]],5,FALSE)*Tabla5[[#This Row],[Cantidad 5]],0)</f>
        <v>0</v>
      </c>
      <c r="Y46" s="1">
        <f>IFERROR(VLOOKUP(Tabla5[[#This Row],[Producto 6]],Tabla3[[Nombre]:[Ud]],5,FALSE)*Tabla5[[#This Row],[Cantidad 6]],0)</f>
        <v>0</v>
      </c>
      <c r="AB46" s="1">
        <f>IFERROR(VLOOKUP(Tabla5[[#This Row],[Producto 7]],Tabla3[[Nombre]:[Ud]],5,FALSE)*Tabla5[[#This Row],[Cantidad 7]],0)</f>
        <v>0</v>
      </c>
      <c r="AE46" s="1">
        <f>IFERROR(VLOOKUP(Tabla5[[#This Row],[Producto 8]],Tabla3[[Nombre]:[Ud]],5,FALSE)*Tabla5[[#This Row],[Cantidad 8]],0)</f>
        <v>0</v>
      </c>
      <c r="AH46" s="1">
        <f>IFERROR(VLOOKUP(Tabla5[[#This Row],[Producto 9]],Tabla3[[Nombre]:[Ud]],5,FALSE)*Tabla5[[#This Row],[Cantidad 9]],0)</f>
        <v>0</v>
      </c>
      <c r="AK46" s="1">
        <f>IFERROR(VLOOKUP(Tabla5[[#This Row],[Producto 10]],Tabla3[[Nombre]:[Ud]],5,FALSE)*Tabla5[[#This Row],[Cantidad 10]],0)</f>
        <v>0</v>
      </c>
      <c r="AN46" s="1">
        <f>IFERROR(VLOOKUP(Tabla5[[#This Row],[Producto 11]],Tabla3[[Nombre]:[Ud]],5,FALSE)*Tabla5[[#This Row],[Cantidad 11]],0)</f>
        <v>0</v>
      </c>
      <c r="AQ46" s="1">
        <f>IFERROR(VLOOKUP(Tabla5[[#This Row],[Producto 12]],Tabla3[[Nombre]:[Ud]],5,FALSE)*Tabla5[[#This Row],[Cantidad 12]],0)</f>
        <v>0</v>
      </c>
      <c r="AT46" s="1">
        <f>IFERROR(VLOOKUP(Tabla5[[#This Row],[Producto 13]],Tabla3[[Nombre]:[Ud]],5,FALSE)*Tabla5[[#This Row],[Cantidad 13]],0)</f>
        <v>0</v>
      </c>
      <c r="AW46" s="1">
        <f>IFERROR(VLOOKUP(Tabla5[[#This Row],[Producto 14]],Tabla3[[Nombre]:[Ud]],5,FALSE)*Tabla5[[#This Row],[Cantidad 14]],0)</f>
        <v>0</v>
      </c>
      <c r="AZ46" s="1">
        <f>IFERROR(VLOOKUP(Tabla5[[#This Row],[Producto 15]],Tabla3[[Nombre]:[Ud]],5,FALSE)*Tabla5[[#This Row],[Cantidad 15]],0)</f>
        <v>0</v>
      </c>
      <c r="BC46" s="1">
        <f>IFERROR(VLOOKUP(Tabla5[[#This Row],[Producto 16]],Tabla3[[Nombre]:[Ud]],5,FALSE)*Tabla5[[#This Row],[Cantidad 16]],0)</f>
        <v>0</v>
      </c>
      <c r="BF46" s="1">
        <f>IFERROR(VLOOKUP(Tabla5[[#This Row],[Producto 17]],Tabla3[[Nombre]:[Ud]],5,FALSE)*Tabla5[[#This Row],[Cantidad 17]],0)</f>
        <v>0</v>
      </c>
      <c r="BI46" s="1">
        <f>IFERROR(VLOOKUP(Tabla5[[#This Row],[Producto 18]],Tabla3[[Nombre]:[Ud]],5,FALSE)*Tabla5[[#This Row],[Cantidad 18]],0)</f>
        <v>0</v>
      </c>
      <c r="BL46" s="1">
        <f>IFERROR(VLOOKUP(Tabla5[[#This Row],[Producto 19]],Tabla3[[Nombre]:[Ud]],5,FALSE)*Tabla5[[#This Row],[Cantidad 19]],0)</f>
        <v>0</v>
      </c>
      <c r="BO46" s="1">
        <f>IFERROR(VLOOKUP(Tabla5[[#This Row],[Producto 20]],Tabla3[[Nombre]:[Ud]],5,FALSE)*Tabla5[[#This Row],[Cantidad 20]],0)</f>
        <v>0</v>
      </c>
      <c r="BR46" s="1">
        <f>IFERROR(VLOOKUP(Tabla5[[#This Row],[Producto 21]],Tabla3[[Nombre]:[Ud]],5,FALSE)*Tabla5[[#This Row],[Cantidad 21]],0)</f>
        <v>0</v>
      </c>
      <c r="BU46" s="1">
        <f>IFERROR(VLOOKUP(Tabla5[[#This Row],[Producto 22]],Tabla3[[Nombre]:[Ud]],5,FALSE)*Tabla5[[#This Row],[Cantidad 22]],0)</f>
        <v>0</v>
      </c>
      <c r="BX46" s="1">
        <f>IFERROR(VLOOKUP(Tabla5[[#This Row],[Producto 23]],Tabla3[[Nombre]:[Ud]],5,FALSE)*Tabla5[[#This Row],[Cantidad 23]],0)</f>
        <v>0</v>
      </c>
      <c r="CA46" s="1">
        <f>IFERROR(VLOOKUP(Tabla5[[#This Row],[Producto 24]],Tabla3[[Nombre]:[Ud]],5,FALSE)*Tabla5[[#This Row],[Cantidad 24]],0)</f>
        <v>0</v>
      </c>
      <c r="CD46" s="1">
        <f>IFERROR(VLOOKUP(Tabla5[[#This Row],[Producto 25]],Tabla3[[Nombre]:[Ud]],5,FALSE)*Tabla5[[#This Row],[Cantidad 25]],0)</f>
        <v>0</v>
      </c>
      <c r="CG46" s="1">
        <f>IFERROR(VLOOKUP(Tabla5[[#This Row],[Producto 26]],Tabla3[[Nombre]:[Ud]],5,FALSE)*Tabla5[[#This Row],[Cantidad 26]],0)</f>
        <v>0</v>
      </c>
      <c r="CJ46" s="1">
        <f>IFERROR(VLOOKUP(Tabla5[[#This Row],[Producto 27]],Tabla3[[Nombre]:[Ud]],5,FALSE)*Tabla5[[#This Row],[Cantidad 27]],0)</f>
        <v>0</v>
      </c>
      <c r="CM46" s="1">
        <f>IFERROR(VLOOKUP(Tabla5[[#This Row],[Producto 28]],Tabla3[[Nombre]:[Ud]],5,FALSE)*Tabla5[[#This Row],[Cantidad 28]],0)</f>
        <v>0</v>
      </c>
      <c r="CP46" s="1">
        <f>IFERROR(VLOOKUP(Tabla5[[#This Row],[Producto 29]],Tabla3[[Nombre]:[Ud]],5,FALSE)*Tabla5[[#This Row],[Cantidad 29]],0)</f>
        <v>0</v>
      </c>
      <c r="CS46" s="1">
        <f>IFERROR(VLOOKUP(Tabla5[[#This Row],[Producto 30]],Tabla3[[Nombre]:[Ud]],5,FALSE)*Tabla5[[#This Row],[Cantidad 30]],0)</f>
        <v>0</v>
      </c>
    </row>
    <row r="47" spans="1:97" x14ac:dyDescent="0.35">
      <c r="A47">
        <v>45</v>
      </c>
      <c r="D47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47" s="1">
        <f>Tabla5[[#This Row],[Minutos]]*Tabla13[[#Totals],[Precio Unitario]]</f>
        <v>0</v>
      </c>
      <c r="G47" s="1">
        <f>IFERROR(VLOOKUP(Tabla5[[#This Row],[Persona]],Tabla1[[Nombre]:[Ud]],7,FALSE) *Tabla5[[#This Row],[Minutos]],0)</f>
        <v>0</v>
      </c>
      <c r="J47" s="1">
        <f>IFERROR(VLOOKUP(Tabla5[[#This Row],[Producto 1]],Tabla3[[Nombre]:[Ud]],5,FALSE)*Tabla5[[#This Row],[Cantidad 1]],0)</f>
        <v>0</v>
      </c>
      <c r="M47" s="1">
        <f>IFERROR(VLOOKUP(Tabla5[[#This Row],[Producto 2]],Tabla3[[Nombre]:[Ud]],5,FALSE)*Tabla5[[#This Row],[Cantidad 2]],0)</f>
        <v>0</v>
      </c>
      <c r="P47" s="1">
        <f>IFERROR(VLOOKUP(Tabla5[[#This Row],[Producto 3]],Tabla3[[Nombre]:[Ud]],5,FALSE)*Tabla5[[#This Row],[Cantidad 3]],0)</f>
        <v>0</v>
      </c>
      <c r="S47" s="1">
        <f>IFERROR(VLOOKUP(Tabla5[[#This Row],[Producto 4]],Tabla3[[Nombre]:[Ud]],5,FALSE)*Tabla5[[#This Row],[Cantidad 4]],0)</f>
        <v>0</v>
      </c>
      <c r="V47" s="1">
        <f>IFERROR(VLOOKUP(Tabla5[[#This Row],[Producto 5]],Tabla3[[Nombre]:[Ud]],5,FALSE)*Tabla5[[#This Row],[Cantidad 5]],0)</f>
        <v>0</v>
      </c>
      <c r="Y47" s="1">
        <f>IFERROR(VLOOKUP(Tabla5[[#This Row],[Producto 6]],Tabla3[[Nombre]:[Ud]],5,FALSE)*Tabla5[[#This Row],[Cantidad 6]],0)</f>
        <v>0</v>
      </c>
      <c r="AB47" s="1">
        <f>IFERROR(VLOOKUP(Tabla5[[#This Row],[Producto 7]],Tabla3[[Nombre]:[Ud]],5,FALSE)*Tabla5[[#This Row],[Cantidad 7]],0)</f>
        <v>0</v>
      </c>
      <c r="AE47" s="1">
        <f>IFERROR(VLOOKUP(Tabla5[[#This Row],[Producto 8]],Tabla3[[Nombre]:[Ud]],5,FALSE)*Tabla5[[#This Row],[Cantidad 8]],0)</f>
        <v>0</v>
      </c>
      <c r="AH47" s="1">
        <f>IFERROR(VLOOKUP(Tabla5[[#This Row],[Producto 9]],Tabla3[[Nombre]:[Ud]],5,FALSE)*Tabla5[[#This Row],[Cantidad 9]],0)</f>
        <v>0</v>
      </c>
      <c r="AK47" s="1">
        <f>IFERROR(VLOOKUP(Tabla5[[#This Row],[Producto 10]],Tabla3[[Nombre]:[Ud]],5,FALSE)*Tabla5[[#This Row],[Cantidad 10]],0)</f>
        <v>0</v>
      </c>
      <c r="AN47" s="1">
        <f>IFERROR(VLOOKUP(Tabla5[[#This Row],[Producto 11]],Tabla3[[Nombre]:[Ud]],5,FALSE)*Tabla5[[#This Row],[Cantidad 11]],0)</f>
        <v>0</v>
      </c>
      <c r="AQ47" s="1">
        <f>IFERROR(VLOOKUP(Tabla5[[#This Row],[Producto 12]],Tabla3[[Nombre]:[Ud]],5,FALSE)*Tabla5[[#This Row],[Cantidad 12]],0)</f>
        <v>0</v>
      </c>
      <c r="AT47" s="1">
        <f>IFERROR(VLOOKUP(Tabla5[[#This Row],[Producto 13]],Tabla3[[Nombre]:[Ud]],5,FALSE)*Tabla5[[#This Row],[Cantidad 13]],0)</f>
        <v>0</v>
      </c>
      <c r="AW47" s="1">
        <f>IFERROR(VLOOKUP(Tabla5[[#This Row],[Producto 14]],Tabla3[[Nombre]:[Ud]],5,FALSE)*Tabla5[[#This Row],[Cantidad 14]],0)</f>
        <v>0</v>
      </c>
      <c r="AZ47" s="1">
        <f>IFERROR(VLOOKUP(Tabla5[[#This Row],[Producto 15]],Tabla3[[Nombre]:[Ud]],5,FALSE)*Tabla5[[#This Row],[Cantidad 15]],0)</f>
        <v>0</v>
      </c>
      <c r="BC47" s="1">
        <f>IFERROR(VLOOKUP(Tabla5[[#This Row],[Producto 16]],Tabla3[[Nombre]:[Ud]],5,FALSE)*Tabla5[[#This Row],[Cantidad 16]],0)</f>
        <v>0</v>
      </c>
      <c r="BF47" s="1">
        <f>IFERROR(VLOOKUP(Tabla5[[#This Row],[Producto 17]],Tabla3[[Nombre]:[Ud]],5,FALSE)*Tabla5[[#This Row],[Cantidad 17]],0)</f>
        <v>0</v>
      </c>
      <c r="BI47" s="1">
        <f>IFERROR(VLOOKUP(Tabla5[[#This Row],[Producto 18]],Tabla3[[Nombre]:[Ud]],5,FALSE)*Tabla5[[#This Row],[Cantidad 18]],0)</f>
        <v>0</v>
      </c>
      <c r="BL47" s="1">
        <f>IFERROR(VLOOKUP(Tabla5[[#This Row],[Producto 19]],Tabla3[[Nombre]:[Ud]],5,FALSE)*Tabla5[[#This Row],[Cantidad 19]],0)</f>
        <v>0</v>
      </c>
      <c r="BO47" s="1">
        <f>IFERROR(VLOOKUP(Tabla5[[#This Row],[Producto 20]],Tabla3[[Nombre]:[Ud]],5,FALSE)*Tabla5[[#This Row],[Cantidad 20]],0)</f>
        <v>0</v>
      </c>
      <c r="BR47" s="1">
        <f>IFERROR(VLOOKUP(Tabla5[[#This Row],[Producto 21]],Tabla3[[Nombre]:[Ud]],5,FALSE)*Tabla5[[#This Row],[Cantidad 21]],0)</f>
        <v>0</v>
      </c>
      <c r="BU47" s="1">
        <f>IFERROR(VLOOKUP(Tabla5[[#This Row],[Producto 22]],Tabla3[[Nombre]:[Ud]],5,FALSE)*Tabla5[[#This Row],[Cantidad 22]],0)</f>
        <v>0</v>
      </c>
      <c r="BX47" s="1">
        <f>IFERROR(VLOOKUP(Tabla5[[#This Row],[Producto 23]],Tabla3[[Nombre]:[Ud]],5,FALSE)*Tabla5[[#This Row],[Cantidad 23]],0)</f>
        <v>0</v>
      </c>
      <c r="CA47" s="1">
        <f>IFERROR(VLOOKUP(Tabla5[[#This Row],[Producto 24]],Tabla3[[Nombre]:[Ud]],5,FALSE)*Tabla5[[#This Row],[Cantidad 24]],0)</f>
        <v>0</v>
      </c>
      <c r="CD47" s="1">
        <f>IFERROR(VLOOKUP(Tabla5[[#This Row],[Producto 25]],Tabla3[[Nombre]:[Ud]],5,FALSE)*Tabla5[[#This Row],[Cantidad 25]],0)</f>
        <v>0</v>
      </c>
      <c r="CG47" s="1">
        <f>IFERROR(VLOOKUP(Tabla5[[#This Row],[Producto 26]],Tabla3[[Nombre]:[Ud]],5,FALSE)*Tabla5[[#This Row],[Cantidad 26]],0)</f>
        <v>0</v>
      </c>
      <c r="CJ47" s="1">
        <f>IFERROR(VLOOKUP(Tabla5[[#This Row],[Producto 27]],Tabla3[[Nombre]:[Ud]],5,FALSE)*Tabla5[[#This Row],[Cantidad 27]],0)</f>
        <v>0</v>
      </c>
      <c r="CM47" s="1">
        <f>IFERROR(VLOOKUP(Tabla5[[#This Row],[Producto 28]],Tabla3[[Nombre]:[Ud]],5,FALSE)*Tabla5[[#This Row],[Cantidad 28]],0)</f>
        <v>0</v>
      </c>
      <c r="CP47" s="1">
        <f>IFERROR(VLOOKUP(Tabla5[[#This Row],[Producto 29]],Tabla3[[Nombre]:[Ud]],5,FALSE)*Tabla5[[#This Row],[Cantidad 29]],0)</f>
        <v>0</v>
      </c>
      <c r="CS47" s="1">
        <f>IFERROR(VLOOKUP(Tabla5[[#This Row],[Producto 30]],Tabla3[[Nombre]:[Ud]],5,FALSE)*Tabla5[[#This Row],[Cantidad 30]],0)</f>
        <v>0</v>
      </c>
    </row>
    <row r="48" spans="1:97" x14ac:dyDescent="0.35">
      <c r="A48">
        <v>46</v>
      </c>
      <c r="D48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48" s="1">
        <f>Tabla5[[#This Row],[Minutos]]*Tabla13[[#Totals],[Precio Unitario]]</f>
        <v>0</v>
      </c>
      <c r="G48" s="1">
        <f>IFERROR(VLOOKUP(Tabla5[[#This Row],[Persona]],Tabla1[[Nombre]:[Ud]],7,FALSE) *Tabla5[[#This Row],[Minutos]],0)</f>
        <v>0</v>
      </c>
      <c r="J48" s="1">
        <f>IFERROR(VLOOKUP(Tabla5[[#This Row],[Producto 1]],Tabla3[[Nombre]:[Ud]],5,FALSE)*Tabla5[[#This Row],[Cantidad 1]],0)</f>
        <v>0</v>
      </c>
      <c r="M48" s="1">
        <f>IFERROR(VLOOKUP(Tabla5[[#This Row],[Producto 2]],Tabla3[[Nombre]:[Ud]],5,FALSE)*Tabla5[[#This Row],[Cantidad 2]],0)</f>
        <v>0</v>
      </c>
      <c r="P48" s="1">
        <f>IFERROR(VLOOKUP(Tabla5[[#This Row],[Producto 3]],Tabla3[[Nombre]:[Ud]],5,FALSE)*Tabla5[[#This Row],[Cantidad 3]],0)</f>
        <v>0</v>
      </c>
      <c r="S48" s="1">
        <f>IFERROR(VLOOKUP(Tabla5[[#This Row],[Producto 4]],Tabla3[[Nombre]:[Ud]],5,FALSE)*Tabla5[[#This Row],[Cantidad 4]],0)</f>
        <v>0</v>
      </c>
      <c r="V48" s="1">
        <f>IFERROR(VLOOKUP(Tabla5[[#This Row],[Producto 5]],Tabla3[[Nombre]:[Ud]],5,FALSE)*Tabla5[[#This Row],[Cantidad 5]],0)</f>
        <v>0</v>
      </c>
      <c r="Y48" s="1">
        <f>IFERROR(VLOOKUP(Tabla5[[#This Row],[Producto 6]],Tabla3[[Nombre]:[Ud]],5,FALSE)*Tabla5[[#This Row],[Cantidad 6]],0)</f>
        <v>0</v>
      </c>
      <c r="AB48" s="1">
        <f>IFERROR(VLOOKUP(Tabla5[[#This Row],[Producto 7]],Tabla3[[Nombre]:[Ud]],5,FALSE)*Tabla5[[#This Row],[Cantidad 7]],0)</f>
        <v>0</v>
      </c>
      <c r="AE48" s="1">
        <f>IFERROR(VLOOKUP(Tabla5[[#This Row],[Producto 8]],Tabla3[[Nombre]:[Ud]],5,FALSE)*Tabla5[[#This Row],[Cantidad 8]],0)</f>
        <v>0</v>
      </c>
      <c r="AH48" s="1">
        <f>IFERROR(VLOOKUP(Tabla5[[#This Row],[Producto 9]],Tabla3[[Nombre]:[Ud]],5,FALSE)*Tabla5[[#This Row],[Cantidad 9]],0)</f>
        <v>0</v>
      </c>
      <c r="AK48" s="1">
        <f>IFERROR(VLOOKUP(Tabla5[[#This Row],[Producto 10]],Tabla3[[Nombre]:[Ud]],5,FALSE)*Tabla5[[#This Row],[Cantidad 10]],0)</f>
        <v>0</v>
      </c>
      <c r="AN48" s="1">
        <f>IFERROR(VLOOKUP(Tabla5[[#This Row],[Producto 11]],Tabla3[[Nombre]:[Ud]],5,FALSE)*Tabla5[[#This Row],[Cantidad 11]],0)</f>
        <v>0</v>
      </c>
      <c r="AQ48" s="1">
        <f>IFERROR(VLOOKUP(Tabla5[[#This Row],[Producto 12]],Tabla3[[Nombre]:[Ud]],5,FALSE)*Tabla5[[#This Row],[Cantidad 12]],0)</f>
        <v>0</v>
      </c>
      <c r="AT48" s="1">
        <f>IFERROR(VLOOKUP(Tabla5[[#This Row],[Producto 13]],Tabla3[[Nombre]:[Ud]],5,FALSE)*Tabla5[[#This Row],[Cantidad 13]],0)</f>
        <v>0</v>
      </c>
      <c r="AW48" s="1">
        <f>IFERROR(VLOOKUP(Tabla5[[#This Row],[Producto 14]],Tabla3[[Nombre]:[Ud]],5,FALSE)*Tabla5[[#This Row],[Cantidad 14]],0)</f>
        <v>0</v>
      </c>
      <c r="AZ48" s="1">
        <f>IFERROR(VLOOKUP(Tabla5[[#This Row],[Producto 15]],Tabla3[[Nombre]:[Ud]],5,FALSE)*Tabla5[[#This Row],[Cantidad 15]],0)</f>
        <v>0</v>
      </c>
      <c r="BC48" s="1">
        <f>IFERROR(VLOOKUP(Tabla5[[#This Row],[Producto 16]],Tabla3[[Nombre]:[Ud]],5,FALSE)*Tabla5[[#This Row],[Cantidad 16]],0)</f>
        <v>0</v>
      </c>
      <c r="BF48" s="1">
        <f>IFERROR(VLOOKUP(Tabla5[[#This Row],[Producto 17]],Tabla3[[Nombre]:[Ud]],5,FALSE)*Tabla5[[#This Row],[Cantidad 17]],0)</f>
        <v>0</v>
      </c>
      <c r="BI48" s="1">
        <f>IFERROR(VLOOKUP(Tabla5[[#This Row],[Producto 18]],Tabla3[[Nombre]:[Ud]],5,FALSE)*Tabla5[[#This Row],[Cantidad 18]],0)</f>
        <v>0</v>
      </c>
      <c r="BL48" s="1">
        <f>IFERROR(VLOOKUP(Tabla5[[#This Row],[Producto 19]],Tabla3[[Nombre]:[Ud]],5,FALSE)*Tabla5[[#This Row],[Cantidad 19]],0)</f>
        <v>0</v>
      </c>
      <c r="BO48" s="1">
        <f>IFERROR(VLOOKUP(Tabla5[[#This Row],[Producto 20]],Tabla3[[Nombre]:[Ud]],5,FALSE)*Tabla5[[#This Row],[Cantidad 20]],0)</f>
        <v>0</v>
      </c>
      <c r="BR48" s="1">
        <f>IFERROR(VLOOKUP(Tabla5[[#This Row],[Producto 21]],Tabla3[[Nombre]:[Ud]],5,FALSE)*Tabla5[[#This Row],[Cantidad 21]],0)</f>
        <v>0</v>
      </c>
      <c r="BU48" s="1">
        <f>IFERROR(VLOOKUP(Tabla5[[#This Row],[Producto 22]],Tabla3[[Nombre]:[Ud]],5,FALSE)*Tabla5[[#This Row],[Cantidad 22]],0)</f>
        <v>0</v>
      </c>
      <c r="BX48" s="1">
        <f>IFERROR(VLOOKUP(Tabla5[[#This Row],[Producto 23]],Tabla3[[Nombre]:[Ud]],5,FALSE)*Tabla5[[#This Row],[Cantidad 23]],0)</f>
        <v>0</v>
      </c>
      <c r="CA48" s="1">
        <f>IFERROR(VLOOKUP(Tabla5[[#This Row],[Producto 24]],Tabla3[[Nombre]:[Ud]],5,FALSE)*Tabla5[[#This Row],[Cantidad 24]],0)</f>
        <v>0</v>
      </c>
      <c r="CD48" s="1">
        <f>IFERROR(VLOOKUP(Tabla5[[#This Row],[Producto 25]],Tabla3[[Nombre]:[Ud]],5,FALSE)*Tabla5[[#This Row],[Cantidad 25]],0)</f>
        <v>0</v>
      </c>
      <c r="CG48" s="1">
        <f>IFERROR(VLOOKUP(Tabla5[[#This Row],[Producto 26]],Tabla3[[Nombre]:[Ud]],5,FALSE)*Tabla5[[#This Row],[Cantidad 26]],0)</f>
        <v>0</v>
      </c>
      <c r="CJ48" s="1">
        <f>IFERROR(VLOOKUP(Tabla5[[#This Row],[Producto 27]],Tabla3[[Nombre]:[Ud]],5,FALSE)*Tabla5[[#This Row],[Cantidad 27]],0)</f>
        <v>0</v>
      </c>
      <c r="CM48" s="1">
        <f>IFERROR(VLOOKUP(Tabla5[[#This Row],[Producto 28]],Tabla3[[Nombre]:[Ud]],5,FALSE)*Tabla5[[#This Row],[Cantidad 28]],0)</f>
        <v>0</v>
      </c>
      <c r="CP48" s="1">
        <f>IFERROR(VLOOKUP(Tabla5[[#This Row],[Producto 29]],Tabla3[[Nombre]:[Ud]],5,FALSE)*Tabla5[[#This Row],[Cantidad 29]],0)</f>
        <v>0</v>
      </c>
      <c r="CS48" s="1">
        <f>IFERROR(VLOOKUP(Tabla5[[#This Row],[Producto 30]],Tabla3[[Nombre]:[Ud]],5,FALSE)*Tabla5[[#This Row],[Cantidad 30]],0)</f>
        <v>0</v>
      </c>
    </row>
    <row r="49" spans="1:97" x14ac:dyDescent="0.35">
      <c r="A49">
        <v>47</v>
      </c>
      <c r="D49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49" s="1">
        <f>Tabla5[[#This Row],[Minutos]]*Tabla13[[#Totals],[Precio Unitario]]</f>
        <v>0</v>
      </c>
      <c r="G49" s="1">
        <f>IFERROR(VLOOKUP(Tabla5[[#This Row],[Persona]],Tabla1[[Nombre]:[Ud]],7,FALSE) *Tabla5[[#This Row],[Minutos]],0)</f>
        <v>0</v>
      </c>
      <c r="J49" s="1">
        <f>IFERROR(VLOOKUP(Tabla5[[#This Row],[Producto 1]],Tabla3[[Nombre]:[Ud]],5,FALSE)*Tabla5[[#This Row],[Cantidad 1]],0)</f>
        <v>0</v>
      </c>
      <c r="M49" s="1">
        <f>IFERROR(VLOOKUP(Tabla5[[#This Row],[Producto 2]],Tabla3[[Nombre]:[Ud]],5,FALSE)*Tabla5[[#This Row],[Cantidad 2]],0)</f>
        <v>0</v>
      </c>
      <c r="P49" s="1">
        <f>IFERROR(VLOOKUP(Tabla5[[#This Row],[Producto 3]],Tabla3[[Nombre]:[Ud]],5,FALSE)*Tabla5[[#This Row],[Cantidad 3]],0)</f>
        <v>0</v>
      </c>
      <c r="S49" s="1">
        <f>IFERROR(VLOOKUP(Tabla5[[#This Row],[Producto 4]],Tabla3[[Nombre]:[Ud]],5,FALSE)*Tabla5[[#This Row],[Cantidad 4]],0)</f>
        <v>0</v>
      </c>
      <c r="V49" s="1">
        <f>IFERROR(VLOOKUP(Tabla5[[#This Row],[Producto 5]],Tabla3[[Nombre]:[Ud]],5,FALSE)*Tabla5[[#This Row],[Cantidad 5]],0)</f>
        <v>0</v>
      </c>
      <c r="Y49" s="1">
        <f>IFERROR(VLOOKUP(Tabla5[[#This Row],[Producto 6]],Tabla3[[Nombre]:[Ud]],5,FALSE)*Tabla5[[#This Row],[Cantidad 6]],0)</f>
        <v>0</v>
      </c>
      <c r="AB49" s="1">
        <f>IFERROR(VLOOKUP(Tabla5[[#This Row],[Producto 7]],Tabla3[[Nombre]:[Ud]],5,FALSE)*Tabla5[[#This Row],[Cantidad 7]],0)</f>
        <v>0</v>
      </c>
      <c r="AE49" s="1">
        <f>IFERROR(VLOOKUP(Tabla5[[#This Row],[Producto 8]],Tabla3[[Nombre]:[Ud]],5,FALSE)*Tabla5[[#This Row],[Cantidad 8]],0)</f>
        <v>0</v>
      </c>
      <c r="AH49" s="1">
        <f>IFERROR(VLOOKUP(Tabla5[[#This Row],[Producto 9]],Tabla3[[Nombre]:[Ud]],5,FALSE)*Tabla5[[#This Row],[Cantidad 9]],0)</f>
        <v>0</v>
      </c>
      <c r="AK49" s="1">
        <f>IFERROR(VLOOKUP(Tabla5[[#This Row],[Producto 10]],Tabla3[[Nombre]:[Ud]],5,FALSE)*Tabla5[[#This Row],[Cantidad 10]],0)</f>
        <v>0</v>
      </c>
      <c r="AN49" s="1">
        <f>IFERROR(VLOOKUP(Tabla5[[#This Row],[Producto 11]],Tabla3[[Nombre]:[Ud]],5,FALSE)*Tabla5[[#This Row],[Cantidad 11]],0)</f>
        <v>0</v>
      </c>
      <c r="AQ49" s="1">
        <f>IFERROR(VLOOKUP(Tabla5[[#This Row],[Producto 12]],Tabla3[[Nombre]:[Ud]],5,FALSE)*Tabla5[[#This Row],[Cantidad 12]],0)</f>
        <v>0</v>
      </c>
      <c r="AT49" s="1">
        <f>IFERROR(VLOOKUP(Tabla5[[#This Row],[Producto 13]],Tabla3[[Nombre]:[Ud]],5,FALSE)*Tabla5[[#This Row],[Cantidad 13]],0)</f>
        <v>0</v>
      </c>
      <c r="AW49" s="1">
        <f>IFERROR(VLOOKUP(Tabla5[[#This Row],[Producto 14]],Tabla3[[Nombre]:[Ud]],5,FALSE)*Tabla5[[#This Row],[Cantidad 14]],0)</f>
        <v>0</v>
      </c>
      <c r="AZ49" s="1">
        <f>IFERROR(VLOOKUP(Tabla5[[#This Row],[Producto 15]],Tabla3[[Nombre]:[Ud]],5,FALSE)*Tabla5[[#This Row],[Cantidad 15]],0)</f>
        <v>0</v>
      </c>
      <c r="BC49" s="1">
        <f>IFERROR(VLOOKUP(Tabla5[[#This Row],[Producto 16]],Tabla3[[Nombre]:[Ud]],5,FALSE)*Tabla5[[#This Row],[Cantidad 16]],0)</f>
        <v>0</v>
      </c>
      <c r="BF49" s="1">
        <f>IFERROR(VLOOKUP(Tabla5[[#This Row],[Producto 17]],Tabla3[[Nombre]:[Ud]],5,FALSE)*Tabla5[[#This Row],[Cantidad 17]],0)</f>
        <v>0</v>
      </c>
      <c r="BI49" s="1">
        <f>IFERROR(VLOOKUP(Tabla5[[#This Row],[Producto 18]],Tabla3[[Nombre]:[Ud]],5,FALSE)*Tabla5[[#This Row],[Cantidad 18]],0)</f>
        <v>0</v>
      </c>
      <c r="BL49" s="1">
        <f>IFERROR(VLOOKUP(Tabla5[[#This Row],[Producto 19]],Tabla3[[Nombre]:[Ud]],5,FALSE)*Tabla5[[#This Row],[Cantidad 19]],0)</f>
        <v>0</v>
      </c>
      <c r="BO49" s="1">
        <f>IFERROR(VLOOKUP(Tabla5[[#This Row],[Producto 20]],Tabla3[[Nombre]:[Ud]],5,FALSE)*Tabla5[[#This Row],[Cantidad 20]],0)</f>
        <v>0</v>
      </c>
      <c r="BR49" s="1">
        <f>IFERROR(VLOOKUP(Tabla5[[#This Row],[Producto 21]],Tabla3[[Nombre]:[Ud]],5,FALSE)*Tabla5[[#This Row],[Cantidad 21]],0)</f>
        <v>0</v>
      </c>
      <c r="BU49" s="1">
        <f>IFERROR(VLOOKUP(Tabla5[[#This Row],[Producto 22]],Tabla3[[Nombre]:[Ud]],5,FALSE)*Tabla5[[#This Row],[Cantidad 22]],0)</f>
        <v>0</v>
      </c>
      <c r="BX49" s="1">
        <f>IFERROR(VLOOKUP(Tabla5[[#This Row],[Producto 23]],Tabla3[[Nombre]:[Ud]],5,FALSE)*Tabla5[[#This Row],[Cantidad 23]],0)</f>
        <v>0</v>
      </c>
      <c r="CA49" s="1">
        <f>IFERROR(VLOOKUP(Tabla5[[#This Row],[Producto 24]],Tabla3[[Nombre]:[Ud]],5,FALSE)*Tabla5[[#This Row],[Cantidad 24]],0)</f>
        <v>0</v>
      </c>
      <c r="CD49" s="1">
        <f>IFERROR(VLOOKUP(Tabla5[[#This Row],[Producto 25]],Tabla3[[Nombre]:[Ud]],5,FALSE)*Tabla5[[#This Row],[Cantidad 25]],0)</f>
        <v>0</v>
      </c>
      <c r="CG49" s="1">
        <f>IFERROR(VLOOKUP(Tabla5[[#This Row],[Producto 26]],Tabla3[[Nombre]:[Ud]],5,FALSE)*Tabla5[[#This Row],[Cantidad 26]],0)</f>
        <v>0</v>
      </c>
      <c r="CJ49" s="1">
        <f>IFERROR(VLOOKUP(Tabla5[[#This Row],[Producto 27]],Tabla3[[Nombre]:[Ud]],5,FALSE)*Tabla5[[#This Row],[Cantidad 27]],0)</f>
        <v>0</v>
      </c>
      <c r="CM49" s="1">
        <f>IFERROR(VLOOKUP(Tabla5[[#This Row],[Producto 28]],Tabla3[[Nombre]:[Ud]],5,FALSE)*Tabla5[[#This Row],[Cantidad 28]],0)</f>
        <v>0</v>
      </c>
      <c r="CP49" s="1">
        <f>IFERROR(VLOOKUP(Tabla5[[#This Row],[Producto 29]],Tabla3[[Nombre]:[Ud]],5,FALSE)*Tabla5[[#This Row],[Cantidad 29]],0)</f>
        <v>0</v>
      </c>
      <c r="CS49" s="1">
        <f>IFERROR(VLOOKUP(Tabla5[[#This Row],[Producto 30]],Tabla3[[Nombre]:[Ud]],5,FALSE)*Tabla5[[#This Row],[Cantidad 30]],0)</f>
        <v>0</v>
      </c>
    </row>
    <row r="50" spans="1:97" x14ac:dyDescent="0.35">
      <c r="A50">
        <v>48</v>
      </c>
      <c r="D50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50" s="1">
        <f>Tabla5[[#This Row],[Minutos]]*Tabla13[[#Totals],[Precio Unitario]]</f>
        <v>0</v>
      </c>
      <c r="G50" s="1">
        <f>IFERROR(VLOOKUP(Tabla5[[#This Row],[Persona]],Tabla1[[Nombre]:[Ud]],7,FALSE) *Tabla5[[#This Row],[Minutos]],0)</f>
        <v>0</v>
      </c>
      <c r="J50" s="1">
        <f>IFERROR(VLOOKUP(Tabla5[[#This Row],[Producto 1]],Tabla3[[Nombre]:[Ud]],5,FALSE)*Tabla5[[#This Row],[Cantidad 1]],0)</f>
        <v>0</v>
      </c>
      <c r="M50" s="1">
        <f>IFERROR(VLOOKUP(Tabla5[[#This Row],[Producto 2]],Tabla3[[Nombre]:[Ud]],5,FALSE)*Tabla5[[#This Row],[Cantidad 2]],0)</f>
        <v>0</v>
      </c>
      <c r="P50" s="1">
        <f>IFERROR(VLOOKUP(Tabla5[[#This Row],[Producto 3]],Tabla3[[Nombre]:[Ud]],5,FALSE)*Tabla5[[#This Row],[Cantidad 3]],0)</f>
        <v>0</v>
      </c>
      <c r="S50" s="1">
        <f>IFERROR(VLOOKUP(Tabla5[[#This Row],[Producto 4]],Tabla3[[Nombre]:[Ud]],5,FALSE)*Tabla5[[#This Row],[Cantidad 4]],0)</f>
        <v>0</v>
      </c>
      <c r="V50" s="1">
        <f>IFERROR(VLOOKUP(Tabla5[[#This Row],[Producto 5]],Tabla3[[Nombre]:[Ud]],5,FALSE)*Tabla5[[#This Row],[Cantidad 5]],0)</f>
        <v>0</v>
      </c>
      <c r="Y50" s="1">
        <f>IFERROR(VLOOKUP(Tabla5[[#This Row],[Producto 6]],Tabla3[[Nombre]:[Ud]],5,FALSE)*Tabla5[[#This Row],[Cantidad 6]],0)</f>
        <v>0</v>
      </c>
      <c r="AB50" s="1">
        <f>IFERROR(VLOOKUP(Tabla5[[#This Row],[Producto 7]],Tabla3[[Nombre]:[Ud]],5,FALSE)*Tabla5[[#This Row],[Cantidad 7]],0)</f>
        <v>0</v>
      </c>
      <c r="AE50" s="1">
        <f>IFERROR(VLOOKUP(Tabla5[[#This Row],[Producto 8]],Tabla3[[Nombre]:[Ud]],5,FALSE)*Tabla5[[#This Row],[Cantidad 8]],0)</f>
        <v>0</v>
      </c>
      <c r="AH50" s="1">
        <f>IFERROR(VLOOKUP(Tabla5[[#This Row],[Producto 9]],Tabla3[[Nombre]:[Ud]],5,FALSE)*Tabla5[[#This Row],[Cantidad 9]],0)</f>
        <v>0</v>
      </c>
      <c r="AK50" s="1">
        <f>IFERROR(VLOOKUP(Tabla5[[#This Row],[Producto 10]],Tabla3[[Nombre]:[Ud]],5,FALSE)*Tabla5[[#This Row],[Cantidad 10]],0)</f>
        <v>0</v>
      </c>
      <c r="AN50" s="1">
        <f>IFERROR(VLOOKUP(Tabla5[[#This Row],[Producto 11]],Tabla3[[Nombre]:[Ud]],5,FALSE)*Tabla5[[#This Row],[Cantidad 11]],0)</f>
        <v>0</v>
      </c>
      <c r="AQ50" s="1">
        <f>IFERROR(VLOOKUP(Tabla5[[#This Row],[Producto 12]],Tabla3[[Nombre]:[Ud]],5,FALSE)*Tabla5[[#This Row],[Cantidad 12]],0)</f>
        <v>0</v>
      </c>
      <c r="AT50" s="1">
        <f>IFERROR(VLOOKUP(Tabla5[[#This Row],[Producto 13]],Tabla3[[Nombre]:[Ud]],5,FALSE)*Tabla5[[#This Row],[Cantidad 13]],0)</f>
        <v>0</v>
      </c>
      <c r="AW50" s="1">
        <f>IFERROR(VLOOKUP(Tabla5[[#This Row],[Producto 14]],Tabla3[[Nombre]:[Ud]],5,FALSE)*Tabla5[[#This Row],[Cantidad 14]],0)</f>
        <v>0</v>
      </c>
      <c r="AZ50" s="1">
        <f>IFERROR(VLOOKUP(Tabla5[[#This Row],[Producto 15]],Tabla3[[Nombre]:[Ud]],5,FALSE)*Tabla5[[#This Row],[Cantidad 15]],0)</f>
        <v>0</v>
      </c>
      <c r="BC50" s="1">
        <f>IFERROR(VLOOKUP(Tabla5[[#This Row],[Producto 16]],Tabla3[[Nombre]:[Ud]],5,FALSE)*Tabla5[[#This Row],[Cantidad 16]],0)</f>
        <v>0</v>
      </c>
      <c r="BF50" s="1">
        <f>IFERROR(VLOOKUP(Tabla5[[#This Row],[Producto 17]],Tabla3[[Nombre]:[Ud]],5,FALSE)*Tabla5[[#This Row],[Cantidad 17]],0)</f>
        <v>0</v>
      </c>
      <c r="BI50" s="1">
        <f>IFERROR(VLOOKUP(Tabla5[[#This Row],[Producto 18]],Tabla3[[Nombre]:[Ud]],5,FALSE)*Tabla5[[#This Row],[Cantidad 18]],0)</f>
        <v>0</v>
      </c>
      <c r="BL50" s="1">
        <f>IFERROR(VLOOKUP(Tabla5[[#This Row],[Producto 19]],Tabla3[[Nombre]:[Ud]],5,FALSE)*Tabla5[[#This Row],[Cantidad 19]],0)</f>
        <v>0</v>
      </c>
      <c r="BO50" s="1">
        <f>IFERROR(VLOOKUP(Tabla5[[#This Row],[Producto 20]],Tabla3[[Nombre]:[Ud]],5,FALSE)*Tabla5[[#This Row],[Cantidad 20]],0)</f>
        <v>0</v>
      </c>
      <c r="BR50" s="1">
        <f>IFERROR(VLOOKUP(Tabla5[[#This Row],[Producto 21]],Tabla3[[Nombre]:[Ud]],5,FALSE)*Tabla5[[#This Row],[Cantidad 21]],0)</f>
        <v>0</v>
      </c>
      <c r="BU50" s="1">
        <f>IFERROR(VLOOKUP(Tabla5[[#This Row],[Producto 22]],Tabla3[[Nombre]:[Ud]],5,FALSE)*Tabla5[[#This Row],[Cantidad 22]],0)</f>
        <v>0</v>
      </c>
      <c r="BX50" s="1">
        <f>IFERROR(VLOOKUP(Tabla5[[#This Row],[Producto 23]],Tabla3[[Nombre]:[Ud]],5,FALSE)*Tabla5[[#This Row],[Cantidad 23]],0)</f>
        <v>0</v>
      </c>
      <c r="CA50" s="1">
        <f>IFERROR(VLOOKUP(Tabla5[[#This Row],[Producto 24]],Tabla3[[Nombre]:[Ud]],5,FALSE)*Tabla5[[#This Row],[Cantidad 24]],0)</f>
        <v>0</v>
      </c>
      <c r="CD50" s="1">
        <f>IFERROR(VLOOKUP(Tabla5[[#This Row],[Producto 25]],Tabla3[[Nombre]:[Ud]],5,FALSE)*Tabla5[[#This Row],[Cantidad 25]],0)</f>
        <v>0</v>
      </c>
      <c r="CG50" s="1">
        <f>IFERROR(VLOOKUP(Tabla5[[#This Row],[Producto 26]],Tabla3[[Nombre]:[Ud]],5,FALSE)*Tabla5[[#This Row],[Cantidad 26]],0)</f>
        <v>0</v>
      </c>
      <c r="CJ50" s="1">
        <f>IFERROR(VLOOKUP(Tabla5[[#This Row],[Producto 27]],Tabla3[[Nombre]:[Ud]],5,FALSE)*Tabla5[[#This Row],[Cantidad 27]],0)</f>
        <v>0</v>
      </c>
      <c r="CM50" s="1">
        <f>IFERROR(VLOOKUP(Tabla5[[#This Row],[Producto 28]],Tabla3[[Nombre]:[Ud]],5,FALSE)*Tabla5[[#This Row],[Cantidad 28]],0)</f>
        <v>0</v>
      </c>
      <c r="CP50" s="1">
        <f>IFERROR(VLOOKUP(Tabla5[[#This Row],[Producto 29]],Tabla3[[Nombre]:[Ud]],5,FALSE)*Tabla5[[#This Row],[Cantidad 29]],0)</f>
        <v>0</v>
      </c>
      <c r="CS50" s="1">
        <f>IFERROR(VLOOKUP(Tabla5[[#This Row],[Producto 30]],Tabla3[[Nombre]:[Ud]],5,FALSE)*Tabla5[[#This Row],[Cantidad 30]],0)</f>
        <v>0</v>
      </c>
    </row>
    <row r="51" spans="1:97" x14ac:dyDescent="0.35">
      <c r="A51">
        <v>49</v>
      </c>
      <c r="D51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51" s="1">
        <f>Tabla5[[#This Row],[Minutos]]*Tabla13[[#Totals],[Precio Unitario]]</f>
        <v>0</v>
      </c>
      <c r="G51" s="1">
        <f>IFERROR(VLOOKUP(Tabla5[[#This Row],[Persona]],Tabla1[[Nombre]:[Ud]],7,FALSE) *Tabla5[[#This Row],[Minutos]],0)</f>
        <v>0</v>
      </c>
      <c r="J51" s="1">
        <f>IFERROR(VLOOKUP(Tabla5[[#This Row],[Producto 1]],Tabla3[[Nombre]:[Ud]],5,FALSE)*Tabla5[[#This Row],[Cantidad 1]],0)</f>
        <v>0</v>
      </c>
      <c r="M51" s="1">
        <f>IFERROR(VLOOKUP(Tabla5[[#This Row],[Producto 2]],Tabla3[[Nombre]:[Ud]],5,FALSE)*Tabla5[[#This Row],[Cantidad 2]],0)</f>
        <v>0</v>
      </c>
      <c r="P51" s="1">
        <f>IFERROR(VLOOKUP(Tabla5[[#This Row],[Producto 3]],Tabla3[[Nombre]:[Ud]],5,FALSE)*Tabla5[[#This Row],[Cantidad 3]],0)</f>
        <v>0</v>
      </c>
      <c r="S51" s="1">
        <f>IFERROR(VLOOKUP(Tabla5[[#This Row],[Producto 4]],Tabla3[[Nombre]:[Ud]],5,FALSE)*Tabla5[[#This Row],[Cantidad 4]],0)</f>
        <v>0</v>
      </c>
      <c r="V51" s="1">
        <f>IFERROR(VLOOKUP(Tabla5[[#This Row],[Producto 5]],Tabla3[[Nombre]:[Ud]],5,FALSE)*Tabla5[[#This Row],[Cantidad 5]],0)</f>
        <v>0</v>
      </c>
      <c r="Y51" s="1">
        <f>IFERROR(VLOOKUP(Tabla5[[#This Row],[Producto 6]],Tabla3[[Nombre]:[Ud]],5,FALSE)*Tabla5[[#This Row],[Cantidad 6]],0)</f>
        <v>0</v>
      </c>
      <c r="AB51" s="1">
        <f>IFERROR(VLOOKUP(Tabla5[[#This Row],[Producto 7]],Tabla3[[Nombre]:[Ud]],5,FALSE)*Tabla5[[#This Row],[Cantidad 7]],0)</f>
        <v>0</v>
      </c>
      <c r="AE51" s="1">
        <f>IFERROR(VLOOKUP(Tabla5[[#This Row],[Producto 8]],Tabla3[[Nombre]:[Ud]],5,FALSE)*Tabla5[[#This Row],[Cantidad 8]],0)</f>
        <v>0</v>
      </c>
      <c r="AH51" s="1">
        <f>IFERROR(VLOOKUP(Tabla5[[#This Row],[Producto 9]],Tabla3[[Nombre]:[Ud]],5,FALSE)*Tabla5[[#This Row],[Cantidad 9]],0)</f>
        <v>0</v>
      </c>
      <c r="AK51" s="1">
        <f>IFERROR(VLOOKUP(Tabla5[[#This Row],[Producto 10]],Tabla3[[Nombre]:[Ud]],5,FALSE)*Tabla5[[#This Row],[Cantidad 10]],0)</f>
        <v>0</v>
      </c>
      <c r="AN51" s="1">
        <f>IFERROR(VLOOKUP(Tabla5[[#This Row],[Producto 11]],Tabla3[[Nombre]:[Ud]],5,FALSE)*Tabla5[[#This Row],[Cantidad 11]],0)</f>
        <v>0</v>
      </c>
      <c r="AQ51" s="1">
        <f>IFERROR(VLOOKUP(Tabla5[[#This Row],[Producto 12]],Tabla3[[Nombre]:[Ud]],5,FALSE)*Tabla5[[#This Row],[Cantidad 12]],0)</f>
        <v>0</v>
      </c>
      <c r="AT51" s="1">
        <f>IFERROR(VLOOKUP(Tabla5[[#This Row],[Producto 13]],Tabla3[[Nombre]:[Ud]],5,FALSE)*Tabla5[[#This Row],[Cantidad 13]],0)</f>
        <v>0</v>
      </c>
      <c r="AW51" s="1">
        <f>IFERROR(VLOOKUP(Tabla5[[#This Row],[Producto 14]],Tabla3[[Nombre]:[Ud]],5,FALSE)*Tabla5[[#This Row],[Cantidad 14]],0)</f>
        <v>0</v>
      </c>
      <c r="AZ51" s="1">
        <f>IFERROR(VLOOKUP(Tabla5[[#This Row],[Producto 15]],Tabla3[[Nombre]:[Ud]],5,FALSE)*Tabla5[[#This Row],[Cantidad 15]],0)</f>
        <v>0</v>
      </c>
      <c r="BC51" s="1">
        <f>IFERROR(VLOOKUP(Tabla5[[#This Row],[Producto 16]],Tabla3[[Nombre]:[Ud]],5,FALSE)*Tabla5[[#This Row],[Cantidad 16]],0)</f>
        <v>0</v>
      </c>
      <c r="BF51" s="1">
        <f>IFERROR(VLOOKUP(Tabla5[[#This Row],[Producto 17]],Tabla3[[Nombre]:[Ud]],5,FALSE)*Tabla5[[#This Row],[Cantidad 17]],0)</f>
        <v>0</v>
      </c>
      <c r="BI51" s="1">
        <f>IFERROR(VLOOKUP(Tabla5[[#This Row],[Producto 18]],Tabla3[[Nombre]:[Ud]],5,FALSE)*Tabla5[[#This Row],[Cantidad 18]],0)</f>
        <v>0</v>
      </c>
      <c r="BL51" s="1">
        <f>IFERROR(VLOOKUP(Tabla5[[#This Row],[Producto 19]],Tabla3[[Nombre]:[Ud]],5,FALSE)*Tabla5[[#This Row],[Cantidad 19]],0)</f>
        <v>0</v>
      </c>
      <c r="BO51" s="1">
        <f>IFERROR(VLOOKUP(Tabla5[[#This Row],[Producto 20]],Tabla3[[Nombre]:[Ud]],5,FALSE)*Tabla5[[#This Row],[Cantidad 20]],0)</f>
        <v>0</v>
      </c>
      <c r="BR51" s="1">
        <f>IFERROR(VLOOKUP(Tabla5[[#This Row],[Producto 21]],Tabla3[[Nombre]:[Ud]],5,FALSE)*Tabla5[[#This Row],[Cantidad 21]],0)</f>
        <v>0</v>
      </c>
      <c r="BU51" s="1">
        <f>IFERROR(VLOOKUP(Tabla5[[#This Row],[Producto 22]],Tabla3[[Nombre]:[Ud]],5,FALSE)*Tabla5[[#This Row],[Cantidad 22]],0)</f>
        <v>0</v>
      </c>
      <c r="BX51" s="1">
        <f>IFERROR(VLOOKUP(Tabla5[[#This Row],[Producto 23]],Tabla3[[Nombre]:[Ud]],5,FALSE)*Tabla5[[#This Row],[Cantidad 23]],0)</f>
        <v>0</v>
      </c>
      <c r="CA51" s="1">
        <f>IFERROR(VLOOKUP(Tabla5[[#This Row],[Producto 24]],Tabla3[[Nombre]:[Ud]],5,FALSE)*Tabla5[[#This Row],[Cantidad 24]],0)</f>
        <v>0</v>
      </c>
      <c r="CD51" s="1">
        <f>IFERROR(VLOOKUP(Tabla5[[#This Row],[Producto 25]],Tabla3[[Nombre]:[Ud]],5,FALSE)*Tabla5[[#This Row],[Cantidad 25]],0)</f>
        <v>0</v>
      </c>
      <c r="CG51" s="1">
        <f>IFERROR(VLOOKUP(Tabla5[[#This Row],[Producto 26]],Tabla3[[Nombre]:[Ud]],5,FALSE)*Tabla5[[#This Row],[Cantidad 26]],0)</f>
        <v>0</v>
      </c>
      <c r="CJ51" s="1">
        <f>IFERROR(VLOOKUP(Tabla5[[#This Row],[Producto 27]],Tabla3[[Nombre]:[Ud]],5,FALSE)*Tabla5[[#This Row],[Cantidad 27]],0)</f>
        <v>0</v>
      </c>
      <c r="CM51" s="1">
        <f>IFERROR(VLOOKUP(Tabla5[[#This Row],[Producto 28]],Tabla3[[Nombre]:[Ud]],5,FALSE)*Tabla5[[#This Row],[Cantidad 28]],0)</f>
        <v>0</v>
      </c>
      <c r="CP51" s="1">
        <f>IFERROR(VLOOKUP(Tabla5[[#This Row],[Producto 29]],Tabla3[[Nombre]:[Ud]],5,FALSE)*Tabla5[[#This Row],[Cantidad 29]],0)</f>
        <v>0</v>
      </c>
      <c r="CS51" s="1">
        <f>IFERROR(VLOOKUP(Tabla5[[#This Row],[Producto 30]],Tabla3[[Nombre]:[Ud]],5,FALSE)*Tabla5[[#This Row],[Cantidad 30]],0)</f>
        <v>0</v>
      </c>
    </row>
    <row r="52" spans="1:97" x14ac:dyDescent="0.35">
      <c r="A52">
        <v>50</v>
      </c>
      <c r="D52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52" s="1">
        <f>Tabla5[[#This Row],[Minutos]]*Tabla13[[#Totals],[Precio Unitario]]</f>
        <v>0</v>
      </c>
      <c r="G52" s="1">
        <f>IFERROR(VLOOKUP(Tabla5[[#This Row],[Persona]],Tabla1[[Nombre]:[Ud]],7,FALSE) *Tabla5[[#This Row],[Minutos]],0)</f>
        <v>0</v>
      </c>
      <c r="J52" s="1">
        <f>IFERROR(VLOOKUP(Tabla5[[#This Row],[Producto 1]],Tabla3[[Nombre]:[Ud]],5,FALSE)*Tabla5[[#This Row],[Cantidad 1]],0)</f>
        <v>0</v>
      </c>
      <c r="M52" s="1">
        <f>IFERROR(VLOOKUP(Tabla5[[#This Row],[Producto 2]],Tabla3[[Nombre]:[Ud]],5,FALSE)*Tabla5[[#This Row],[Cantidad 2]],0)</f>
        <v>0</v>
      </c>
      <c r="P52" s="1">
        <f>IFERROR(VLOOKUP(Tabla5[[#This Row],[Producto 3]],Tabla3[[Nombre]:[Ud]],5,FALSE)*Tabla5[[#This Row],[Cantidad 3]],0)</f>
        <v>0</v>
      </c>
      <c r="S52" s="1">
        <f>IFERROR(VLOOKUP(Tabla5[[#This Row],[Producto 4]],Tabla3[[Nombre]:[Ud]],5,FALSE)*Tabla5[[#This Row],[Cantidad 4]],0)</f>
        <v>0</v>
      </c>
      <c r="V52" s="1">
        <f>IFERROR(VLOOKUP(Tabla5[[#This Row],[Producto 5]],Tabla3[[Nombre]:[Ud]],5,FALSE)*Tabla5[[#This Row],[Cantidad 5]],0)</f>
        <v>0</v>
      </c>
      <c r="Y52" s="1">
        <f>IFERROR(VLOOKUP(Tabla5[[#This Row],[Producto 6]],Tabla3[[Nombre]:[Ud]],5,FALSE)*Tabla5[[#This Row],[Cantidad 6]],0)</f>
        <v>0</v>
      </c>
      <c r="AB52" s="1">
        <f>IFERROR(VLOOKUP(Tabla5[[#This Row],[Producto 7]],Tabla3[[Nombre]:[Ud]],5,FALSE)*Tabla5[[#This Row],[Cantidad 7]],0)</f>
        <v>0</v>
      </c>
      <c r="AE52" s="1">
        <f>IFERROR(VLOOKUP(Tabla5[[#This Row],[Producto 8]],Tabla3[[Nombre]:[Ud]],5,FALSE)*Tabla5[[#This Row],[Cantidad 8]],0)</f>
        <v>0</v>
      </c>
      <c r="AH52" s="1">
        <f>IFERROR(VLOOKUP(Tabla5[[#This Row],[Producto 9]],Tabla3[[Nombre]:[Ud]],5,FALSE)*Tabla5[[#This Row],[Cantidad 9]],0)</f>
        <v>0</v>
      </c>
      <c r="AK52" s="1">
        <f>IFERROR(VLOOKUP(Tabla5[[#This Row],[Producto 10]],Tabla3[[Nombre]:[Ud]],5,FALSE)*Tabla5[[#This Row],[Cantidad 10]],0)</f>
        <v>0</v>
      </c>
      <c r="AN52" s="1">
        <f>IFERROR(VLOOKUP(Tabla5[[#This Row],[Producto 11]],Tabla3[[Nombre]:[Ud]],5,FALSE)*Tabla5[[#This Row],[Cantidad 11]],0)</f>
        <v>0</v>
      </c>
      <c r="AQ52" s="1">
        <f>IFERROR(VLOOKUP(Tabla5[[#This Row],[Producto 12]],Tabla3[[Nombre]:[Ud]],5,FALSE)*Tabla5[[#This Row],[Cantidad 12]],0)</f>
        <v>0</v>
      </c>
      <c r="AT52" s="1">
        <f>IFERROR(VLOOKUP(Tabla5[[#This Row],[Producto 13]],Tabla3[[Nombre]:[Ud]],5,FALSE)*Tabla5[[#This Row],[Cantidad 13]],0)</f>
        <v>0</v>
      </c>
      <c r="AW52" s="1">
        <f>IFERROR(VLOOKUP(Tabla5[[#This Row],[Producto 14]],Tabla3[[Nombre]:[Ud]],5,FALSE)*Tabla5[[#This Row],[Cantidad 14]],0)</f>
        <v>0</v>
      </c>
      <c r="AZ52" s="1">
        <f>IFERROR(VLOOKUP(Tabla5[[#This Row],[Producto 15]],Tabla3[[Nombre]:[Ud]],5,FALSE)*Tabla5[[#This Row],[Cantidad 15]],0)</f>
        <v>0</v>
      </c>
      <c r="BC52" s="1">
        <f>IFERROR(VLOOKUP(Tabla5[[#This Row],[Producto 16]],Tabla3[[Nombre]:[Ud]],5,FALSE)*Tabla5[[#This Row],[Cantidad 16]],0)</f>
        <v>0</v>
      </c>
      <c r="BF52" s="1">
        <f>IFERROR(VLOOKUP(Tabla5[[#This Row],[Producto 17]],Tabla3[[Nombre]:[Ud]],5,FALSE)*Tabla5[[#This Row],[Cantidad 17]],0)</f>
        <v>0</v>
      </c>
      <c r="BI52" s="1">
        <f>IFERROR(VLOOKUP(Tabla5[[#This Row],[Producto 18]],Tabla3[[Nombre]:[Ud]],5,FALSE)*Tabla5[[#This Row],[Cantidad 18]],0)</f>
        <v>0</v>
      </c>
      <c r="BL52" s="1">
        <f>IFERROR(VLOOKUP(Tabla5[[#This Row],[Producto 19]],Tabla3[[Nombre]:[Ud]],5,FALSE)*Tabla5[[#This Row],[Cantidad 19]],0)</f>
        <v>0</v>
      </c>
      <c r="BO52" s="1">
        <f>IFERROR(VLOOKUP(Tabla5[[#This Row],[Producto 20]],Tabla3[[Nombre]:[Ud]],5,FALSE)*Tabla5[[#This Row],[Cantidad 20]],0)</f>
        <v>0</v>
      </c>
      <c r="BR52" s="1">
        <f>IFERROR(VLOOKUP(Tabla5[[#This Row],[Producto 21]],Tabla3[[Nombre]:[Ud]],5,FALSE)*Tabla5[[#This Row],[Cantidad 21]],0)</f>
        <v>0</v>
      </c>
      <c r="BU52" s="1">
        <f>IFERROR(VLOOKUP(Tabla5[[#This Row],[Producto 22]],Tabla3[[Nombre]:[Ud]],5,FALSE)*Tabla5[[#This Row],[Cantidad 22]],0)</f>
        <v>0</v>
      </c>
      <c r="BX52" s="1">
        <f>IFERROR(VLOOKUP(Tabla5[[#This Row],[Producto 23]],Tabla3[[Nombre]:[Ud]],5,FALSE)*Tabla5[[#This Row],[Cantidad 23]],0)</f>
        <v>0</v>
      </c>
      <c r="CA52" s="1">
        <f>IFERROR(VLOOKUP(Tabla5[[#This Row],[Producto 24]],Tabla3[[Nombre]:[Ud]],5,FALSE)*Tabla5[[#This Row],[Cantidad 24]],0)</f>
        <v>0</v>
      </c>
      <c r="CD52" s="1">
        <f>IFERROR(VLOOKUP(Tabla5[[#This Row],[Producto 25]],Tabla3[[Nombre]:[Ud]],5,FALSE)*Tabla5[[#This Row],[Cantidad 25]],0)</f>
        <v>0</v>
      </c>
      <c r="CG52" s="1">
        <f>IFERROR(VLOOKUP(Tabla5[[#This Row],[Producto 26]],Tabla3[[Nombre]:[Ud]],5,FALSE)*Tabla5[[#This Row],[Cantidad 26]],0)</f>
        <v>0</v>
      </c>
      <c r="CJ52" s="1">
        <f>IFERROR(VLOOKUP(Tabla5[[#This Row],[Producto 27]],Tabla3[[Nombre]:[Ud]],5,FALSE)*Tabla5[[#This Row],[Cantidad 27]],0)</f>
        <v>0</v>
      </c>
      <c r="CM52" s="1">
        <f>IFERROR(VLOOKUP(Tabla5[[#This Row],[Producto 28]],Tabla3[[Nombre]:[Ud]],5,FALSE)*Tabla5[[#This Row],[Cantidad 28]],0)</f>
        <v>0</v>
      </c>
      <c r="CP52" s="1">
        <f>IFERROR(VLOOKUP(Tabla5[[#This Row],[Producto 29]],Tabla3[[Nombre]:[Ud]],5,FALSE)*Tabla5[[#This Row],[Cantidad 29]],0)</f>
        <v>0</v>
      </c>
      <c r="CS52" s="1">
        <f>IFERROR(VLOOKUP(Tabla5[[#This Row],[Producto 30]],Tabla3[[Nombre]:[Ud]],5,FALSE)*Tabla5[[#This Row],[Cantidad 30]],0)</f>
        <v>0</v>
      </c>
    </row>
    <row r="53" spans="1:97" x14ac:dyDescent="0.35">
      <c r="A53">
        <v>51</v>
      </c>
      <c r="D53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53" s="1">
        <f>Tabla5[[#This Row],[Minutos]]*Tabla13[[#Totals],[Precio Unitario]]</f>
        <v>0</v>
      </c>
      <c r="G53" s="1">
        <f>IFERROR(VLOOKUP(Tabla5[[#This Row],[Persona]],Tabla1[[Nombre]:[Ud]],7,FALSE) *Tabla5[[#This Row],[Minutos]],0)</f>
        <v>0</v>
      </c>
      <c r="J53" s="1">
        <f>IFERROR(VLOOKUP(Tabla5[[#This Row],[Producto 1]],Tabla3[[Nombre]:[Ud]],5,FALSE)*Tabla5[[#This Row],[Cantidad 1]],0)</f>
        <v>0</v>
      </c>
      <c r="M53" s="1">
        <f>IFERROR(VLOOKUP(Tabla5[[#This Row],[Producto 2]],Tabla3[[Nombre]:[Ud]],5,FALSE)*Tabla5[[#This Row],[Cantidad 2]],0)</f>
        <v>0</v>
      </c>
      <c r="P53" s="1">
        <f>IFERROR(VLOOKUP(Tabla5[[#This Row],[Producto 3]],Tabla3[[Nombre]:[Ud]],5,FALSE)*Tabla5[[#This Row],[Cantidad 3]],0)</f>
        <v>0</v>
      </c>
      <c r="S53" s="1">
        <f>IFERROR(VLOOKUP(Tabla5[[#This Row],[Producto 4]],Tabla3[[Nombre]:[Ud]],5,FALSE)*Tabla5[[#This Row],[Cantidad 4]],0)</f>
        <v>0</v>
      </c>
      <c r="V53" s="1">
        <f>IFERROR(VLOOKUP(Tabla5[[#This Row],[Producto 5]],Tabla3[[Nombre]:[Ud]],5,FALSE)*Tabla5[[#This Row],[Cantidad 5]],0)</f>
        <v>0</v>
      </c>
      <c r="Y53" s="1">
        <f>IFERROR(VLOOKUP(Tabla5[[#This Row],[Producto 6]],Tabla3[[Nombre]:[Ud]],5,FALSE)*Tabla5[[#This Row],[Cantidad 6]],0)</f>
        <v>0</v>
      </c>
      <c r="AB53" s="1">
        <f>IFERROR(VLOOKUP(Tabla5[[#This Row],[Producto 7]],Tabla3[[Nombre]:[Ud]],5,FALSE)*Tabla5[[#This Row],[Cantidad 7]],0)</f>
        <v>0</v>
      </c>
      <c r="AE53" s="1">
        <f>IFERROR(VLOOKUP(Tabla5[[#This Row],[Producto 8]],Tabla3[[Nombre]:[Ud]],5,FALSE)*Tabla5[[#This Row],[Cantidad 8]],0)</f>
        <v>0</v>
      </c>
      <c r="AH53" s="1">
        <f>IFERROR(VLOOKUP(Tabla5[[#This Row],[Producto 9]],Tabla3[[Nombre]:[Ud]],5,FALSE)*Tabla5[[#This Row],[Cantidad 9]],0)</f>
        <v>0</v>
      </c>
      <c r="AK53" s="1">
        <f>IFERROR(VLOOKUP(Tabla5[[#This Row],[Producto 10]],Tabla3[[Nombre]:[Ud]],5,FALSE)*Tabla5[[#This Row],[Cantidad 10]],0)</f>
        <v>0</v>
      </c>
      <c r="AN53" s="1">
        <f>IFERROR(VLOOKUP(Tabla5[[#This Row],[Producto 11]],Tabla3[[Nombre]:[Ud]],5,FALSE)*Tabla5[[#This Row],[Cantidad 11]],0)</f>
        <v>0</v>
      </c>
      <c r="AQ53" s="1">
        <f>IFERROR(VLOOKUP(Tabla5[[#This Row],[Producto 12]],Tabla3[[Nombre]:[Ud]],5,FALSE)*Tabla5[[#This Row],[Cantidad 12]],0)</f>
        <v>0</v>
      </c>
      <c r="AT53" s="1">
        <f>IFERROR(VLOOKUP(Tabla5[[#This Row],[Producto 13]],Tabla3[[Nombre]:[Ud]],5,FALSE)*Tabla5[[#This Row],[Cantidad 13]],0)</f>
        <v>0</v>
      </c>
      <c r="AW53" s="1">
        <f>IFERROR(VLOOKUP(Tabla5[[#This Row],[Producto 14]],Tabla3[[Nombre]:[Ud]],5,FALSE)*Tabla5[[#This Row],[Cantidad 14]],0)</f>
        <v>0</v>
      </c>
      <c r="AZ53" s="1">
        <f>IFERROR(VLOOKUP(Tabla5[[#This Row],[Producto 15]],Tabla3[[Nombre]:[Ud]],5,FALSE)*Tabla5[[#This Row],[Cantidad 15]],0)</f>
        <v>0</v>
      </c>
      <c r="BC53" s="1">
        <f>IFERROR(VLOOKUP(Tabla5[[#This Row],[Producto 16]],Tabla3[[Nombre]:[Ud]],5,FALSE)*Tabla5[[#This Row],[Cantidad 16]],0)</f>
        <v>0</v>
      </c>
      <c r="BF53" s="1">
        <f>IFERROR(VLOOKUP(Tabla5[[#This Row],[Producto 17]],Tabla3[[Nombre]:[Ud]],5,FALSE)*Tabla5[[#This Row],[Cantidad 17]],0)</f>
        <v>0</v>
      </c>
      <c r="BI53" s="1">
        <f>IFERROR(VLOOKUP(Tabla5[[#This Row],[Producto 18]],Tabla3[[Nombre]:[Ud]],5,FALSE)*Tabla5[[#This Row],[Cantidad 18]],0)</f>
        <v>0</v>
      </c>
      <c r="BL53" s="1">
        <f>IFERROR(VLOOKUP(Tabla5[[#This Row],[Producto 19]],Tabla3[[Nombre]:[Ud]],5,FALSE)*Tabla5[[#This Row],[Cantidad 19]],0)</f>
        <v>0</v>
      </c>
      <c r="BO53" s="1">
        <f>IFERROR(VLOOKUP(Tabla5[[#This Row],[Producto 20]],Tabla3[[Nombre]:[Ud]],5,FALSE)*Tabla5[[#This Row],[Cantidad 20]],0)</f>
        <v>0</v>
      </c>
      <c r="BR53" s="1">
        <f>IFERROR(VLOOKUP(Tabla5[[#This Row],[Producto 21]],Tabla3[[Nombre]:[Ud]],5,FALSE)*Tabla5[[#This Row],[Cantidad 21]],0)</f>
        <v>0</v>
      </c>
      <c r="BU53" s="1">
        <f>IFERROR(VLOOKUP(Tabla5[[#This Row],[Producto 22]],Tabla3[[Nombre]:[Ud]],5,FALSE)*Tabla5[[#This Row],[Cantidad 22]],0)</f>
        <v>0</v>
      </c>
      <c r="BX53" s="1">
        <f>IFERROR(VLOOKUP(Tabla5[[#This Row],[Producto 23]],Tabla3[[Nombre]:[Ud]],5,FALSE)*Tabla5[[#This Row],[Cantidad 23]],0)</f>
        <v>0</v>
      </c>
      <c r="CA53" s="1">
        <f>IFERROR(VLOOKUP(Tabla5[[#This Row],[Producto 24]],Tabla3[[Nombre]:[Ud]],5,FALSE)*Tabla5[[#This Row],[Cantidad 24]],0)</f>
        <v>0</v>
      </c>
      <c r="CD53" s="1">
        <f>IFERROR(VLOOKUP(Tabla5[[#This Row],[Producto 25]],Tabla3[[Nombre]:[Ud]],5,FALSE)*Tabla5[[#This Row],[Cantidad 25]],0)</f>
        <v>0</v>
      </c>
      <c r="CG53" s="1">
        <f>IFERROR(VLOOKUP(Tabla5[[#This Row],[Producto 26]],Tabla3[[Nombre]:[Ud]],5,FALSE)*Tabla5[[#This Row],[Cantidad 26]],0)</f>
        <v>0</v>
      </c>
      <c r="CJ53" s="1">
        <f>IFERROR(VLOOKUP(Tabla5[[#This Row],[Producto 27]],Tabla3[[Nombre]:[Ud]],5,FALSE)*Tabla5[[#This Row],[Cantidad 27]],0)</f>
        <v>0</v>
      </c>
      <c r="CM53" s="1">
        <f>IFERROR(VLOOKUP(Tabla5[[#This Row],[Producto 28]],Tabla3[[Nombre]:[Ud]],5,FALSE)*Tabla5[[#This Row],[Cantidad 28]],0)</f>
        <v>0</v>
      </c>
      <c r="CP53" s="1">
        <f>IFERROR(VLOOKUP(Tabla5[[#This Row],[Producto 29]],Tabla3[[Nombre]:[Ud]],5,FALSE)*Tabla5[[#This Row],[Cantidad 29]],0)</f>
        <v>0</v>
      </c>
      <c r="CS53" s="1">
        <f>IFERROR(VLOOKUP(Tabla5[[#This Row],[Producto 30]],Tabla3[[Nombre]:[Ud]],5,FALSE)*Tabla5[[#This Row],[Cantidad 30]],0)</f>
        <v>0</v>
      </c>
    </row>
    <row r="54" spans="1:97" x14ac:dyDescent="0.35">
      <c r="A54">
        <v>52</v>
      </c>
      <c r="D54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54" s="1">
        <f>Tabla5[[#This Row],[Minutos]]*Tabla13[[#Totals],[Precio Unitario]]</f>
        <v>0</v>
      </c>
      <c r="G54" s="1">
        <f>IFERROR(VLOOKUP(Tabla5[[#This Row],[Persona]],Tabla1[[Nombre]:[Ud]],7,FALSE) *Tabla5[[#This Row],[Minutos]],0)</f>
        <v>0</v>
      </c>
      <c r="J54" s="1">
        <f>IFERROR(VLOOKUP(Tabla5[[#This Row],[Producto 1]],Tabla3[[Nombre]:[Ud]],5,FALSE)*Tabla5[[#This Row],[Cantidad 1]],0)</f>
        <v>0</v>
      </c>
      <c r="M54" s="1">
        <f>IFERROR(VLOOKUP(Tabla5[[#This Row],[Producto 2]],Tabla3[[Nombre]:[Ud]],5,FALSE)*Tabla5[[#This Row],[Cantidad 2]],0)</f>
        <v>0</v>
      </c>
      <c r="P54" s="1">
        <f>IFERROR(VLOOKUP(Tabla5[[#This Row],[Producto 3]],Tabla3[[Nombre]:[Ud]],5,FALSE)*Tabla5[[#This Row],[Cantidad 3]],0)</f>
        <v>0</v>
      </c>
      <c r="S54" s="1">
        <f>IFERROR(VLOOKUP(Tabla5[[#This Row],[Producto 4]],Tabla3[[Nombre]:[Ud]],5,FALSE)*Tabla5[[#This Row],[Cantidad 4]],0)</f>
        <v>0</v>
      </c>
      <c r="V54" s="1">
        <f>IFERROR(VLOOKUP(Tabla5[[#This Row],[Producto 5]],Tabla3[[Nombre]:[Ud]],5,FALSE)*Tabla5[[#This Row],[Cantidad 5]],0)</f>
        <v>0</v>
      </c>
      <c r="Y54" s="1">
        <f>IFERROR(VLOOKUP(Tabla5[[#This Row],[Producto 6]],Tabla3[[Nombre]:[Ud]],5,FALSE)*Tabla5[[#This Row],[Cantidad 6]],0)</f>
        <v>0</v>
      </c>
      <c r="AB54" s="1">
        <f>IFERROR(VLOOKUP(Tabla5[[#This Row],[Producto 7]],Tabla3[[Nombre]:[Ud]],5,FALSE)*Tabla5[[#This Row],[Cantidad 7]],0)</f>
        <v>0</v>
      </c>
      <c r="AE54" s="1">
        <f>IFERROR(VLOOKUP(Tabla5[[#This Row],[Producto 8]],Tabla3[[Nombre]:[Ud]],5,FALSE)*Tabla5[[#This Row],[Cantidad 8]],0)</f>
        <v>0</v>
      </c>
      <c r="AH54" s="1">
        <f>IFERROR(VLOOKUP(Tabla5[[#This Row],[Producto 9]],Tabla3[[Nombre]:[Ud]],5,FALSE)*Tabla5[[#This Row],[Cantidad 9]],0)</f>
        <v>0</v>
      </c>
      <c r="AK54" s="1">
        <f>IFERROR(VLOOKUP(Tabla5[[#This Row],[Producto 10]],Tabla3[[Nombre]:[Ud]],5,FALSE)*Tabla5[[#This Row],[Cantidad 10]],0)</f>
        <v>0</v>
      </c>
      <c r="AN54" s="1">
        <f>IFERROR(VLOOKUP(Tabla5[[#This Row],[Producto 11]],Tabla3[[Nombre]:[Ud]],5,FALSE)*Tabla5[[#This Row],[Cantidad 11]],0)</f>
        <v>0</v>
      </c>
      <c r="AQ54" s="1">
        <f>IFERROR(VLOOKUP(Tabla5[[#This Row],[Producto 12]],Tabla3[[Nombre]:[Ud]],5,FALSE)*Tabla5[[#This Row],[Cantidad 12]],0)</f>
        <v>0</v>
      </c>
      <c r="AT54" s="1">
        <f>IFERROR(VLOOKUP(Tabla5[[#This Row],[Producto 13]],Tabla3[[Nombre]:[Ud]],5,FALSE)*Tabla5[[#This Row],[Cantidad 13]],0)</f>
        <v>0</v>
      </c>
      <c r="AW54" s="1">
        <f>IFERROR(VLOOKUP(Tabla5[[#This Row],[Producto 14]],Tabla3[[Nombre]:[Ud]],5,FALSE)*Tabla5[[#This Row],[Cantidad 14]],0)</f>
        <v>0</v>
      </c>
      <c r="AZ54" s="1">
        <f>IFERROR(VLOOKUP(Tabla5[[#This Row],[Producto 15]],Tabla3[[Nombre]:[Ud]],5,FALSE)*Tabla5[[#This Row],[Cantidad 15]],0)</f>
        <v>0</v>
      </c>
      <c r="BC54" s="1">
        <f>IFERROR(VLOOKUP(Tabla5[[#This Row],[Producto 16]],Tabla3[[Nombre]:[Ud]],5,FALSE)*Tabla5[[#This Row],[Cantidad 16]],0)</f>
        <v>0</v>
      </c>
      <c r="BF54" s="1">
        <f>IFERROR(VLOOKUP(Tabla5[[#This Row],[Producto 17]],Tabla3[[Nombre]:[Ud]],5,FALSE)*Tabla5[[#This Row],[Cantidad 17]],0)</f>
        <v>0</v>
      </c>
      <c r="BI54" s="1">
        <f>IFERROR(VLOOKUP(Tabla5[[#This Row],[Producto 18]],Tabla3[[Nombre]:[Ud]],5,FALSE)*Tabla5[[#This Row],[Cantidad 18]],0)</f>
        <v>0</v>
      </c>
      <c r="BL54" s="1">
        <f>IFERROR(VLOOKUP(Tabla5[[#This Row],[Producto 19]],Tabla3[[Nombre]:[Ud]],5,FALSE)*Tabla5[[#This Row],[Cantidad 19]],0)</f>
        <v>0</v>
      </c>
      <c r="BO54" s="1">
        <f>IFERROR(VLOOKUP(Tabla5[[#This Row],[Producto 20]],Tabla3[[Nombre]:[Ud]],5,FALSE)*Tabla5[[#This Row],[Cantidad 20]],0)</f>
        <v>0</v>
      </c>
      <c r="BR54" s="1">
        <f>IFERROR(VLOOKUP(Tabla5[[#This Row],[Producto 21]],Tabla3[[Nombre]:[Ud]],5,FALSE)*Tabla5[[#This Row],[Cantidad 21]],0)</f>
        <v>0</v>
      </c>
      <c r="BU54" s="1">
        <f>IFERROR(VLOOKUP(Tabla5[[#This Row],[Producto 22]],Tabla3[[Nombre]:[Ud]],5,FALSE)*Tabla5[[#This Row],[Cantidad 22]],0)</f>
        <v>0</v>
      </c>
      <c r="BX54" s="1">
        <f>IFERROR(VLOOKUP(Tabla5[[#This Row],[Producto 23]],Tabla3[[Nombre]:[Ud]],5,FALSE)*Tabla5[[#This Row],[Cantidad 23]],0)</f>
        <v>0</v>
      </c>
      <c r="CA54" s="1">
        <f>IFERROR(VLOOKUP(Tabla5[[#This Row],[Producto 24]],Tabla3[[Nombre]:[Ud]],5,FALSE)*Tabla5[[#This Row],[Cantidad 24]],0)</f>
        <v>0</v>
      </c>
      <c r="CD54" s="1">
        <f>IFERROR(VLOOKUP(Tabla5[[#This Row],[Producto 25]],Tabla3[[Nombre]:[Ud]],5,FALSE)*Tabla5[[#This Row],[Cantidad 25]],0)</f>
        <v>0</v>
      </c>
      <c r="CG54" s="1">
        <f>IFERROR(VLOOKUP(Tabla5[[#This Row],[Producto 26]],Tabla3[[Nombre]:[Ud]],5,FALSE)*Tabla5[[#This Row],[Cantidad 26]],0)</f>
        <v>0</v>
      </c>
      <c r="CJ54" s="1">
        <f>IFERROR(VLOOKUP(Tabla5[[#This Row],[Producto 27]],Tabla3[[Nombre]:[Ud]],5,FALSE)*Tabla5[[#This Row],[Cantidad 27]],0)</f>
        <v>0</v>
      </c>
      <c r="CM54" s="1">
        <f>IFERROR(VLOOKUP(Tabla5[[#This Row],[Producto 28]],Tabla3[[Nombre]:[Ud]],5,FALSE)*Tabla5[[#This Row],[Cantidad 28]],0)</f>
        <v>0</v>
      </c>
      <c r="CP54" s="1">
        <f>IFERROR(VLOOKUP(Tabla5[[#This Row],[Producto 29]],Tabla3[[Nombre]:[Ud]],5,FALSE)*Tabla5[[#This Row],[Cantidad 29]],0)</f>
        <v>0</v>
      </c>
      <c r="CS54" s="1">
        <f>IFERROR(VLOOKUP(Tabla5[[#This Row],[Producto 30]],Tabla3[[Nombre]:[Ud]],5,FALSE)*Tabla5[[#This Row],[Cantidad 30]],0)</f>
        <v>0</v>
      </c>
    </row>
    <row r="55" spans="1:97" x14ac:dyDescent="0.35">
      <c r="A55">
        <v>53</v>
      </c>
      <c r="D55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55" s="1">
        <f>Tabla5[[#This Row],[Minutos]]*Tabla13[[#Totals],[Precio Unitario]]</f>
        <v>0</v>
      </c>
      <c r="G55" s="1">
        <f>IFERROR(VLOOKUP(Tabla5[[#This Row],[Persona]],Tabla1[[Nombre]:[Ud]],7,FALSE) *Tabla5[[#This Row],[Minutos]],0)</f>
        <v>0</v>
      </c>
      <c r="J55" s="1">
        <f>IFERROR(VLOOKUP(Tabla5[[#This Row],[Producto 1]],Tabla3[[Nombre]:[Ud]],5,FALSE)*Tabla5[[#This Row],[Cantidad 1]],0)</f>
        <v>0</v>
      </c>
      <c r="M55" s="1">
        <f>IFERROR(VLOOKUP(Tabla5[[#This Row],[Producto 2]],Tabla3[[Nombre]:[Ud]],5,FALSE)*Tabla5[[#This Row],[Cantidad 2]],0)</f>
        <v>0</v>
      </c>
      <c r="P55" s="1">
        <f>IFERROR(VLOOKUP(Tabla5[[#This Row],[Producto 3]],Tabla3[[Nombre]:[Ud]],5,FALSE)*Tabla5[[#This Row],[Cantidad 3]],0)</f>
        <v>0</v>
      </c>
      <c r="S55" s="1">
        <f>IFERROR(VLOOKUP(Tabla5[[#This Row],[Producto 4]],Tabla3[[Nombre]:[Ud]],5,FALSE)*Tabla5[[#This Row],[Cantidad 4]],0)</f>
        <v>0</v>
      </c>
      <c r="V55" s="1">
        <f>IFERROR(VLOOKUP(Tabla5[[#This Row],[Producto 5]],Tabla3[[Nombre]:[Ud]],5,FALSE)*Tabla5[[#This Row],[Cantidad 5]],0)</f>
        <v>0</v>
      </c>
      <c r="Y55" s="1">
        <f>IFERROR(VLOOKUP(Tabla5[[#This Row],[Producto 6]],Tabla3[[Nombre]:[Ud]],5,FALSE)*Tabla5[[#This Row],[Cantidad 6]],0)</f>
        <v>0</v>
      </c>
      <c r="AB55" s="1">
        <f>IFERROR(VLOOKUP(Tabla5[[#This Row],[Producto 7]],Tabla3[[Nombre]:[Ud]],5,FALSE)*Tabla5[[#This Row],[Cantidad 7]],0)</f>
        <v>0</v>
      </c>
      <c r="AE55" s="1">
        <f>IFERROR(VLOOKUP(Tabla5[[#This Row],[Producto 8]],Tabla3[[Nombre]:[Ud]],5,FALSE)*Tabla5[[#This Row],[Cantidad 8]],0)</f>
        <v>0</v>
      </c>
      <c r="AH55" s="1">
        <f>IFERROR(VLOOKUP(Tabla5[[#This Row],[Producto 9]],Tabla3[[Nombre]:[Ud]],5,FALSE)*Tabla5[[#This Row],[Cantidad 9]],0)</f>
        <v>0</v>
      </c>
      <c r="AK55" s="1">
        <f>IFERROR(VLOOKUP(Tabla5[[#This Row],[Producto 10]],Tabla3[[Nombre]:[Ud]],5,FALSE)*Tabla5[[#This Row],[Cantidad 10]],0)</f>
        <v>0</v>
      </c>
      <c r="AN55" s="1">
        <f>IFERROR(VLOOKUP(Tabla5[[#This Row],[Producto 11]],Tabla3[[Nombre]:[Ud]],5,FALSE)*Tabla5[[#This Row],[Cantidad 11]],0)</f>
        <v>0</v>
      </c>
      <c r="AQ55" s="1">
        <f>IFERROR(VLOOKUP(Tabla5[[#This Row],[Producto 12]],Tabla3[[Nombre]:[Ud]],5,FALSE)*Tabla5[[#This Row],[Cantidad 12]],0)</f>
        <v>0</v>
      </c>
      <c r="AT55" s="1">
        <f>IFERROR(VLOOKUP(Tabla5[[#This Row],[Producto 13]],Tabla3[[Nombre]:[Ud]],5,FALSE)*Tabla5[[#This Row],[Cantidad 13]],0)</f>
        <v>0</v>
      </c>
      <c r="AW55" s="1">
        <f>IFERROR(VLOOKUP(Tabla5[[#This Row],[Producto 14]],Tabla3[[Nombre]:[Ud]],5,FALSE)*Tabla5[[#This Row],[Cantidad 14]],0)</f>
        <v>0</v>
      </c>
      <c r="AZ55" s="1">
        <f>IFERROR(VLOOKUP(Tabla5[[#This Row],[Producto 15]],Tabla3[[Nombre]:[Ud]],5,FALSE)*Tabla5[[#This Row],[Cantidad 15]],0)</f>
        <v>0</v>
      </c>
      <c r="BC55" s="1">
        <f>IFERROR(VLOOKUP(Tabla5[[#This Row],[Producto 16]],Tabla3[[Nombre]:[Ud]],5,FALSE)*Tabla5[[#This Row],[Cantidad 16]],0)</f>
        <v>0</v>
      </c>
      <c r="BF55" s="1">
        <f>IFERROR(VLOOKUP(Tabla5[[#This Row],[Producto 17]],Tabla3[[Nombre]:[Ud]],5,FALSE)*Tabla5[[#This Row],[Cantidad 17]],0)</f>
        <v>0</v>
      </c>
      <c r="BI55" s="1">
        <f>IFERROR(VLOOKUP(Tabla5[[#This Row],[Producto 18]],Tabla3[[Nombre]:[Ud]],5,FALSE)*Tabla5[[#This Row],[Cantidad 18]],0)</f>
        <v>0</v>
      </c>
      <c r="BL55" s="1">
        <f>IFERROR(VLOOKUP(Tabla5[[#This Row],[Producto 19]],Tabla3[[Nombre]:[Ud]],5,FALSE)*Tabla5[[#This Row],[Cantidad 19]],0)</f>
        <v>0</v>
      </c>
      <c r="BO55" s="1">
        <f>IFERROR(VLOOKUP(Tabla5[[#This Row],[Producto 20]],Tabla3[[Nombre]:[Ud]],5,FALSE)*Tabla5[[#This Row],[Cantidad 20]],0)</f>
        <v>0</v>
      </c>
      <c r="BR55" s="1">
        <f>IFERROR(VLOOKUP(Tabla5[[#This Row],[Producto 21]],Tabla3[[Nombre]:[Ud]],5,FALSE)*Tabla5[[#This Row],[Cantidad 21]],0)</f>
        <v>0</v>
      </c>
      <c r="BU55" s="1">
        <f>IFERROR(VLOOKUP(Tabla5[[#This Row],[Producto 22]],Tabla3[[Nombre]:[Ud]],5,FALSE)*Tabla5[[#This Row],[Cantidad 22]],0)</f>
        <v>0</v>
      </c>
      <c r="BX55" s="1">
        <f>IFERROR(VLOOKUP(Tabla5[[#This Row],[Producto 23]],Tabla3[[Nombre]:[Ud]],5,FALSE)*Tabla5[[#This Row],[Cantidad 23]],0)</f>
        <v>0</v>
      </c>
      <c r="CA55" s="1">
        <f>IFERROR(VLOOKUP(Tabla5[[#This Row],[Producto 24]],Tabla3[[Nombre]:[Ud]],5,FALSE)*Tabla5[[#This Row],[Cantidad 24]],0)</f>
        <v>0</v>
      </c>
      <c r="CD55" s="1">
        <f>IFERROR(VLOOKUP(Tabla5[[#This Row],[Producto 25]],Tabla3[[Nombre]:[Ud]],5,FALSE)*Tabla5[[#This Row],[Cantidad 25]],0)</f>
        <v>0</v>
      </c>
      <c r="CG55" s="1">
        <f>IFERROR(VLOOKUP(Tabla5[[#This Row],[Producto 26]],Tabla3[[Nombre]:[Ud]],5,FALSE)*Tabla5[[#This Row],[Cantidad 26]],0)</f>
        <v>0</v>
      </c>
      <c r="CJ55" s="1">
        <f>IFERROR(VLOOKUP(Tabla5[[#This Row],[Producto 27]],Tabla3[[Nombre]:[Ud]],5,FALSE)*Tabla5[[#This Row],[Cantidad 27]],0)</f>
        <v>0</v>
      </c>
      <c r="CM55" s="1">
        <f>IFERROR(VLOOKUP(Tabla5[[#This Row],[Producto 28]],Tabla3[[Nombre]:[Ud]],5,FALSE)*Tabla5[[#This Row],[Cantidad 28]],0)</f>
        <v>0</v>
      </c>
      <c r="CP55" s="1">
        <f>IFERROR(VLOOKUP(Tabla5[[#This Row],[Producto 29]],Tabla3[[Nombre]:[Ud]],5,FALSE)*Tabla5[[#This Row],[Cantidad 29]],0)</f>
        <v>0</v>
      </c>
      <c r="CS55" s="1">
        <f>IFERROR(VLOOKUP(Tabla5[[#This Row],[Producto 30]],Tabla3[[Nombre]:[Ud]],5,FALSE)*Tabla5[[#This Row],[Cantidad 30]],0)</f>
        <v>0</v>
      </c>
    </row>
    <row r="56" spans="1:97" x14ac:dyDescent="0.35">
      <c r="A56">
        <v>54</v>
      </c>
      <c r="D56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56" s="1">
        <f>Tabla5[[#This Row],[Minutos]]*Tabla13[[#Totals],[Precio Unitario]]</f>
        <v>0</v>
      </c>
      <c r="G56" s="1">
        <f>IFERROR(VLOOKUP(Tabla5[[#This Row],[Persona]],Tabla1[[Nombre]:[Ud]],7,FALSE) *Tabla5[[#This Row],[Minutos]],0)</f>
        <v>0</v>
      </c>
      <c r="J56" s="1">
        <f>IFERROR(VLOOKUP(Tabla5[[#This Row],[Producto 1]],Tabla3[[Nombre]:[Ud]],5,FALSE)*Tabla5[[#This Row],[Cantidad 1]],0)</f>
        <v>0</v>
      </c>
      <c r="M56" s="1">
        <f>IFERROR(VLOOKUP(Tabla5[[#This Row],[Producto 2]],Tabla3[[Nombre]:[Ud]],5,FALSE)*Tabla5[[#This Row],[Cantidad 2]],0)</f>
        <v>0</v>
      </c>
      <c r="P56" s="1">
        <f>IFERROR(VLOOKUP(Tabla5[[#This Row],[Producto 3]],Tabla3[[Nombre]:[Ud]],5,FALSE)*Tabla5[[#This Row],[Cantidad 3]],0)</f>
        <v>0</v>
      </c>
      <c r="S56" s="1">
        <f>IFERROR(VLOOKUP(Tabla5[[#This Row],[Producto 4]],Tabla3[[Nombre]:[Ud]],5,FALSE)*Tabla5[[#This Row],[Cantidad 4]],0)</f>
        <v>0</v>
      </c>
      <c r="V56" s="1">
        <f>IFERROR(VLOOKUP(Tabla5[[#This Row],[Producto 5]],Tabla3[[Nombre]:[Ud]],5,FALSE)*Tabla5[[#This Row],[Cantidad 5]],0)</f>
        <v>0</v>
      </c>
      <c r="Y56" s="1">
        <f>IFERROR(VLOOKUP(Tabla5[[#This Row],[Producto 6]],Tabla3[[Nombre]:[Ud]],5,FALSE)*Tabla5[[#This Row],[Cantidad 6]],0)</f>
        <v>0</v>
      </c>
      <c r="AB56" s="1">
        <f>IFERROR(VLOOKUP(Tabla5[[#This Row],[Producto 7]],Tabla3[[Nombre]:[Ud]],5,FALSE)*Tabla5[[#This Row],[Cantidad 7]],0)</f>
        <v>0</v>
      </c>
      <c r="AE56" s="1">
        <f>IFERROR(VLOOKUP(Tabla5[[#This Row],[Producto 8]],Tabla3[[Nombre]:[Ud]],5,FALSE)*Tabla5[[#This Row],[Cantidad 8]],0)</f>
        <v>0</v>
      </c>
      <c r="AH56" s="1">
        <f>IFERROR(VLOOKUP(Tabla5[[#This Row],[Producto 9]],Tabla3[[Nombre]:[Ud]],5,FALSE)*Tabla5[[#This Row],[Cantidad 9]],0)</f>
        <v>0</v>
      </c>
      <c r="AK56" s="1">
        <f>IFERROR(VLOOKUP(Tabla5[[#This Row],[Producto 10]],Tabla3[[Nombre]:[Ud]],5,FALSE)*Tabla5[[#This Row],[Cantidad 10]],0)</f>
        <v>0</v>
      </c>
      <c r="AN56" s="1">
        <f>IFERROR(VLOOKUP(Tabla5[[#This Row],[Producto 11]],Tabla3[[Nombre]:[Ud]],5,FALSE)*Tabla5[[#This Row],[Cantidad 11]],0)</f>
        <v>0</v>
      </c>
      <c r="AQ56" s="1">
        <f>IFERROR(VLOOKUP(Tabla5[[#This Row],[Producto 12]],Tabla3[[Nombre]:[Ud]],5,FALSE)*Tabla5[[#This Row],[Cantidad 12]],0)</f>
        <v>0</v>
      </c>
      <c r="AT56" s="1">
        <f>IFERROR(VLOOKUP(Tabla5[[#This Row],[Producto 13]],Tabla3[[Nombre]:[Ud]],5,FALSE)*Tabla5[[#This Row],[Cantidad 13]],0)</f>
        <v>0</v>
      </c>
      <c r="AW56" s="1">
        <f>IFERROR(VLOOKUP(Tabla5[[#This Row],[Producto 14]],Tabla3[[Nombre]:[Ud]],5,FALSE)*Tabla5[[#This Row],[Cantidad 14]],0)</f>
        <v>0</v>
      </c>
      <c r="AZ56" s="1">
        <f>IFERROR(VLOOKUP(Tabla5[[#This Row],[Producto 15]],Tabla3[[Nombre]:[Ud]],5,FALSE)*Tabla5[[#This Row],[Cantidad 15]],0)</f>
        <v>0</v>
      </c>
      <c r="BC56" s="1">
        <f>IFERROR(VLOOKUP(Tabla5[[#This Row],[Producto 16]],Tabla3[[Nombre]:[Ud]],5,FALSE)*Tabla5[[#This Row],[Cantidad 16]],0)</f>
        <v>0</v>
      </c>
      <c r="BF56" s="1">
        <f>IFERROR(VLOOKUP(Tabla5[[#This Row],[Producto 17]],Tabla3[[Nombre]:[Ud]],5,FALSE)*Tabla5[[#This Row],[Cantidad 17]],0)</f>
        <v>0</v>
      </c>
      <c r="BI56" s="1">
        <f>IFERROR(VLOOKUP(Tabla5[[#This Row],[Producto 18]],Tabla3[[Nombre]:[Ud]],5,FALSE)*Tabla5[[#This Row],[Cantidad 18]],0)</f>
        <v>0</v>
      </c>
      <c r="BL56" s="1">
        <f>IFERROR(VLOOKUP(Tabla5[[#This Row],[Producto 19]],Tabla3[[Nombre]:[Ud]],5,FALSE)*Tabla5[[#This Row],[Cantidad 19]],0)</f>
        <v>0</v>
      </c>
      <c r="BO56" s="1">
        <f>IFERROR(VLOOKUP(Tabla5[[#This Row],[Producto 20]],Tabla3[[Nombre]:[Ud]],5,FALSE)*Tabla5[[#This Row],[Cantidad 20]],0)</f>
        <v>0</v>
      </c>
      <c r="BR56" s="1">
        <f>IFERROR(VLOOKUP(Tabla5[[#This Row],[Producto 21]],Tabla3[[Nombre]:[Ud]],5,FALSE)*Tabla5[[#This Row],[Cantidad 21]],0)</f>
        <v>0</v>
      </c>
      <c r="BU56" s="1">
        <f>IFERROR(VLOOKUP(Tabla5[[#This Row],[Producto 22]],Tabla3[[Nombre]:[Ud]],5,FALSE)*Tabla5[[#This Row],[Cantidad 22]],0)</f>
        <v>0</v>
      </c>
      <c r="BX56" s="1">
        <f>IFERROR(VLOOKUP(Tabla5[[#This Row],[Producto 23]],Tabla3[[Nombre]:[Ud]],5,FALSE)*Tabla5[[#This Row],[Cantidad 23]],0)</f>
        <v>0</v>
      </c>
      <c r="CA56" s="1">
        <f>IFERROR(VLOOKUP(Tabla5[[#This Row],[Producto 24]],Tabla3[[Nombre]:[Ud]],5,FALSE)*Tabla5[[#This Row],[Cantidad 24]],0)</f>
        <v>0</v>
      </c>
      <c r="CD56" s="1">
        <f>IFERROR(VLOOKUP(Tabla5[[#This Row],[Producto 25]],Tabla3[[Nombre]:[Ud]],5,FALSE)*Tabla5[[#This Row],[Cantidad 25]],0)</f>
        <v>0</v>
      </c>
      <c r="CG56" s="1">
        <f>IFERROR(VLOOKUP(Tabla5[[#This Row],[Producto 26]],Tabla3[[Nombre]:[Ud]],5,FALSE)*Tabla5[[#This Row],[Cantidad 26]],0)</f>
        <v>0</v>
      </c>
      <c r="CJ56" s="1">
        <f>IFERROR(VLOOKUP(Tabla5[[#This Row],[Producto 27]],Tabla3[[Nombre]:[Ud]],5,FALSE)*Tabla5[[#This Row],[Cantidad 27]],0)</f>
        <v>0</v>
      </c>
      <c r="CM56" s="1">
        <f>IFERROR(VLOOKUP(Tabla5[[#This Row],[Producto 28]],Tabla3[[Nombre]:[Ud]],5,FALSE)*Tabla5[[#This Row],[Cantidad 28]],0)</f>
        <v>0</v>
      </c>
      <c r="CP56" s="1">
        <f>IFERROR(VLOOKUP(Tabla5[[#This Row],[Producto 29]],Tabla3[[Nombre]:[Ud]],5,FALSE)*Tabla5[[#This Row],[Cantidad 29]],0)</f>
        <v>0</v>
      </c>
      <c r="CS56" s="1">
        <f>IFERROR(VLOOKUP(Tabla5[[#This Row],[Producto 30]],Tabla3[[Nombre]:[Ud]],5,FALSE)*Tabla5[[#This Row],[Cantidad 30]],0)</f>
        <v>0</v>
      </c>
    </row>
    <row r="57" spans="1:97" x14ac:dyDescent="0.35">
      <c r="A57">
        <v>55</v>
      </c>
      <c r="D57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57" s="1">
        <f>Tabla5[[#This Row],[Minutos]]*Tabla13[[#Totals],[Precio Unitario]]</f>
        <v>0</v>
      </c>
      <c r="G57" s="1">
        <f>IFERROR(VLOOKUP(Tabla5[[#This Row],[Persona]],Tabla1[[Nombre]:[Ud]],7,FALSE) *Tabla5[[#This Row],[Minutos]],0)</f>
        <v>0</v>
      </c>
      <c r="J57" s="1">
        <f>IFERROR(VLOOKUP(Tabla5[[#This Row],[Producto 1]],Tabla3[[Nombre]:[Ud]],5,FALSE)*Tabla5[[#This Row],[Cantidad 1]],0)</f>
        <v>0</v>
      </c>
      <c r="M57" s="1">
        <f>IFERROR(VLOOKUP(Tabla5[[#This Row],[Producto 2]],Tabla3[[Nombre]:[Ud]],5,FALSE)*Tabla5[[#This Row],[Cantidad 2]],0)</f>
        <v>0</v>
      </c>
      <c r="P57" s="1">
        <f>IFERROR(VLOOKUP(Tabla5[[#This Row],[Producto 3]],Tabla3[[Nombre]:[Ud]],5,FALSE)*Tabla5[[#This Row],[Cantidad 3]],0)</f>
        <v>0</v>
      </c>
      <c r="S57" s="1">
        <f>IFERROR(VLOOKUP(Tabla5[[#This Row],[Producto 4]],Tabla3[[Nombre]:[Ud]],5,FALSE)*Tabla5[[#This Row],[Cantidad 4]],0)</f>
        <v>0</v>
      </c>
      <c r="V57" s="1">
        <f>IFERROR(VLOOKUP(Tabla5[[#This Row],[Producto 5]],Tabla3[[Nombre]:[Ud]],5,FALSE)*Tabla5[[#This Row],[Cantidad 5]],0)</f>
        <v>0</v>
      </c>
      <c r="Y57" s="1">
        <f>IFERROR(VLOOKUP(Tabla5[[#This Row],[Producto 6]],Tabla3[[Nombre]:[Ud]],5,FALSE)*Tabla5[[#This Row],[Cantidad 6]],0)</f>
        <v>0</v>
      </c>
      <c r="AB57" s="1">
        <f>IFERROR(VLOOKUP(Tabla5[[#This Row],[Producto 7]],Tabla3[[Nombre]:[Ud]],5,FALSE)*Tabla5[[#This Row],[Cantidad 7]],0)</f>
        <v>0</v>
      </c>
      <c r="AE57" s="1">
        <f>IFERROR(VLOOKUP(Tabla5[[#This Row],[Producto 8]],Tabla3[[Nombre]:[Ud]],5,FALSE)*Tabla5[[#This Row],[Cantidad 8]],0)</f>
        <v>0</v>
      </c>
      <c r="AH57" s="1">
        <f>IFERROR(VLOOKUP(Tabla5[[#This Row],[Producto 9]],Tabla3[[Nombre]:[Ud]],5,FALSE)*Tabla5[[#This Row],[Cantidad 9]],0)</f>
        <v>0</v>
      </c>
      <c r="AK57" s="1">
        <f>IFERROR(VLOOKUP(Tabla5[[#This Row],[Producto 10]],Tabla3[[Nombre]:[Ud]],5,FALSE)*Tabla5[[#This Row],[Cantidad 10]],0)</f>
        <v>0</v>
      </c>
      <c r="AN57" s="1">
        <f>IFERROR(VLOOKUP(Tabla5[[#This Row],[Producto 11]],Tabla3[[Nombre]:[Ud]],5,FALSE)*Tabla5[[#This Row],[Cantidad 11]],0)</f>
        <v>0</v>
      </c>
      <c r="AQ57" s="1">
        <f>IFERROR(VLOOKUP(Tabla5[[#This Row],[Producto 12]],Tabla3[[Nombre]:[Ud]],5,FALSE)*Tabla5[[#This Row],[Cantidad 12]],0)</f>
        <v>0</v>
      </c>
      <c r="AT57" s="1">
        <f>IFERROR(VLOOKUP(Tabla5[[#This Row],[Producto 13]],Tabla3[[Nombre]:[Ud]],5,FALSE)*Tabla5[[#This Row],[Cantidad 13]],0)</f>
        <v>0</v>
      </c>
      <c r="AW57" s="1">
        <f>IFERROR(VLOOKUP(Tabla5[[#This Row],[Producto 14]],Tabla3[[Nombre]:[Ud]],5,FALSE)*Tabla5[[#This Row],[Cantidad 14]],0)</f>
        <v>0</v>
      </c>
      <c r="AZ57" s="1">
        <f>IFERROR(VLOOKUP(Tabla5[[#This Row],[Producto 15]],Tabla3[[Nombre]:[Ud]],5,FALSE)*Tabla5[[#This Row],[Cantidad 15]],0)</f>
        <v>0</v>
      </c>
      <c r="BC57" s="1">
        <f>IFERROR(VLOOKUP(Tabla5[[#This Row],[Producto 16]],Tabla3[[Nombre]:[Ud]],5,FALSE)*Tabla5[[#This Row],[Cantidad 16]],0)</f>
        <v>0</v>
      </c>
      <c r="BF57" s="1">
        <f>IFERROR(VLOOKUP(Tabla5[[#This Row],[Producto 17]],Tabla3[[Nombre]:[Ud]],5,FALSE)*Tabla5[[#This Row],[Cantidad 17]],0)</f>
        <v>0</v>
      </c>
      <c r="BI57" s="1">
        <f>IFERROR(VLOOKUP(Tabla5[[#This Row],[Producto 18]],Tabla3[[Nombre]:[Ud]],5,FALSE)*Tabla5[[#This Row],[Cantidad 18]],0)</f>
        <v>0</v>
      </c>
      <c r="BL57" s="1">
        <f>IFERROR(VLOOKUP(Tabla5[[#This Row],[Producto 19]],Tabla3[[Nombre]:[Ud]],5,FALSE)*Tabla5[[#This Row],[Cantidad 19]],0)</f>
        <v>0</v>
      </c>
      <c r="BO57" s="1">
        <f>IFERROR(VLOOKUP(Tabla5[[#This Row],[Producto 20]],Tabla3[[Nombre]:[Ud]],5,FALSE)*Tabla5[[#This Row],[Cantidad 20]],0)</f>
        <v>0</v>
      </c>
      <c r="BR57" s="1">
        <f>IFERROR(VLOOKUP(Tabla5[[#This Row],[Producto 21]],Tabla3[[Nombre]:[Ud]],5,FALSE)*Tabla5[[#This Row],[Cantidad 21]],0)</f>
        <v>0</v>
      </c>
      <c r="BU57" s="1">
        <f>IFERROR(VLOOKUP(Tabla5[[#This Row],[Producto 22]],Tabla3[[Nombre]:[Ud]],5,FALSE)*Tabla5[[#This Row],[Cantidad 22]],0)</f>
        <v>0</v>
      </c>
      <c r="BX57" s="1">
        <f>IFERROR(VLOOKUP(Tabla5[[#This Row],[Producto 23]],Tabla3[[Nombre]:[Ud]],5,FALSE)*Tabla5[[#This Row],[Cantidad 23]],0)</f>
        <v>0</v>
      </c>
      <c r="CA57" s="1">
        <f>IFERROR(VLOOKUP(Tabla5[[#This Row],[Producto 24]],Tabla3[[Nombre]:[Ud]],5,FALSE)*Tabla5[[#This Row],[Cantidad 24]],0)</f>
        <v>0</v>
      </c>
      <c r="CD57" s="1">
        <f>IFERROR(VLOOKUP(Tabla5[[#This Row],[Producto 25]],Tabla3[[Nombre]:[Ud]],5,FALSE)*Tabla5[[#This Row],[Cantidad 25]],0)</f>
        <v>0</v>
      </c>
      <c r="CG57" s="1">
        <f>IFERROR(VLOOKUP(Tabla5[[#This Row],[Producto 26]],Tabla3[[Nombre]:[Ud]],5,FALSE)*Tabla5[[#This Row],[Cantidad 26]],0)</f>
        <v>0</v>
      </c>
      <c r="CJ57" s="1">
        <f>IFERROR(VLOOKUP(Tabla5[[#This Row],[Producto 27]],Tabla3[[Nombre]:[Ud]],5,FALSE)*Tabla5[[#This Row],[Cantidad 27]],0)</f>
        <v>0</v>
      </c>
      <c r="CM57" s="1">
        <f>IFERROR(VLOOKUP(Tabla5[[#This Row],[Producto 28]],Tabla3[[Nombre]:[Ud]],5,FALSE)*Tabla5[[#This Row],[Cantidad 28]],0)</f>
        <v>0</v>
      </c>
      <c r="CP57" s="1">
        <f>IFERROR(VLOOKUP(Tabla5[[#This Row],[Producto 29]],Tabla3[[Nombre]:[Ud]],5,FALSE)*Tabla5[[#This Row],[Cantidad 29]],0)</f>
        <v>0</v>
      </c>
      <c r="CS57" s="1">
        <f>IFERROR(VLOOKUP(Tabla5[[#This Row],[Producto 30]],Tabla3[[Nombre]:[Ud]],5,FALSE)*Tabla5[[#This Row],[Cantidad 30]],0)</f>
        <v>0</v>
      </c>
    </row>
    <row r="58" spans="1:97" x14ac:dyDescent="0.35">
      <c r="A58">
        <v>56</v>
      </c>
      <c r="D58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58" s="1">
        <f>Tabla5[[#This Row],[Minutos]]*Tabla13[[#Totals],[Precio Unitario]]</f>
        <v>0</v>
      </c>
      <c r="G58" s="1">
        <f>IFERROR(VLOOKUP(Tabla5[[#This Row],[Persona]],Tabla1[[Nombre]:[Ud]],7,FALSE) *Tabla5[[#This Row],[Minutos]],0)</f>
        <v>0</v>
      </c>
      <c r="J58" s="1">
        <f>IFERROR(VLOOKUP(Tabla5[[#This Row],[Producto 1]],Tabla3[[Nombre]:[Ud]],5,FALSE)*Tabla5[[#This Row],[Cantidad 1]],0)</f>
        <v>0</v>
      </c>
      <c r="M58" s="1">
        <f>IFERROR(VLOOKUP(Tabla5[[#This Row],[Producto 2]],Tabla3[[Nombre]:[Ud]],5,FALSE)*Tabla5[[#This Row],[Cantidad 2]],0)</f>
        <v>0</v>
      </c>
      <c r="P58" s="1">
        <f>IFERROR(VLOOKUP(Tabla5[[#This Row],[Producto 3]],Tabla3[[Nombre]:[Ud]],5,FALSE)*Tabla5[[#This Row],[Cantidad 3]],0)</f>
        <v>0</v>
      </c>
      <c r="S58" s="1">
        <f>IFERROR(VLOOKUP(Tabla5[[#This Row],[Producto 4]],Tabla3[[Nombre]:[Ud]],5,FALSE)*Tabla5[[#This Row],[Cantidad 4]],0)</f>
        <v>0</v>
      </c>
      <c r="V58" s="1">
        <f>IFERROR(VLOOKUP(Tabla5[[#This Row],[Producto 5]],Tabla3[[Nombre]:[Ud]],5,FALSE)*Tabla5[[#This Row],[Cantidad 5]],0)</f>
        <v>0</v>
      </c>
      <c r="Y58" s="1">
        <f>IFERROR(VLOOKUP(Tabla5[[#This Row],[Producto 6]],Tabla3[[Nombre]:[Ud]],5,FALSE)*Tabla5[[#This Row],[Cantidad 6]],0)</f>
        <v>0</v>
      </c>
      <c r="AB58" s="1">
        <f>IFERROR(VLOOKUP(Tabla5[[#This Row],[Producto 7]],Tabla3[[Nombre]:[Ud]],5,FALSE)*Tabla5[[#This Row],[Cantidad 7]],0)</f>
        <v>0</v>
      </c>
      <c r="AE58" s="1">
        <f>IFERROR(VLOOKUP(Tabla5[[#This Row],[Producto 8]],Tabla3[[Nombre]:[Ud]],5,FALSE)*Tabla5[[#This Row],[Cantidad 8]],0)</f>
        <v>0</v>
      </c>
      <c r="AH58" s="1">
        <f>IFERROR(VLOOKUP(Tabla5[[#This Row],[Producto 9]],Tabla3[[Nombre]:[Ud]],5,FALSE)*Tabla5[[#This Row],[Cantidad 9]],0)</f>
        <v>0</v>
      </c>
      <c r="AK58" s="1">
        <f>IFERROR(VLOOKUP(Tabla5[[#This Row],[Producto 10]],Tabla3[[Nombre]:[Ud]],5,FALSE)*Tabla5[[#This Row],[Cantidad 10]],0)</f>
        <v>0</v>
      </c>
      <c r="AN58" s="1">
        <f>IFERROR(VLOOKUP(Tabla5[[#This Row],[Producto 11]],Tabla3[[Nombre]:[Ud]],5,FALSE)*Tabla5[[#This Row],[Cantidad 11]],0)</f>
        <v>0</v>
      </c>
      <c r="AQ58" s="1">
        <f>IFERROR(VLOOKUP(Tabla5[[#This Row],[Producto 12]],Tabla3[[Nombre]:[Ud]],5,FALSE)*Tabla5[[#This Row],[Cantidad 12]],0)</f>
        <v>0</v>
      </c>
      <c r="AT58" s="1">
        <f>IFERROR(VLOOKUP(Tabla5[[#This Row],[Producto 13]],Tabla3[[Nombre]:[Ud]],5,FALSE)*Tabla5[[#This Row],[Cantidad 13]],0)</f>
        <v>0</v>
      </c>
      <c r="AW58" s="1">
        <f>IFERROR(VLOOKUP(Tabla5[[#This Row],[Producto 14]],Tabla3[[Nombre]:[Ud]],5,FALSE)*Tabla5[[#This Row],[Cantidad 14]],0)</f>
        <v>0</v>
      </c>
      <c r="AZ58" s="1">
        <f>IFERROR(VLOOKUP(Tabla5[[#This Row],[Producto 15]],Tabla3[[Nombre]:[Ud]],5,FALSE)*Tabla5[[#This Row],[Cantidad 15]],0)</f>
        <v>0</v>
      </c>
      <c r="BC58" s="1">
        <f>IFERROR(VLOOKUP(Tabla5[[#This Row],[Producto 16]],Tabla3[[Nombre]:[Ud]],5,FALSE)*Tabla5[[#This Row],[Cantidad 16]],0)</f>
        <v>0</v>
      </c>
      <c r="BF58" s="1">
        <f>IFERROR(VLOOKUP(Tabla5[[#This Row],[Producto 17]],Tabla3[[Nombre]:[Ud]],5,FALSE)*Tabla5[[#This Row],[Cantidad 17]],0)</f>
        <v>0</v>
      </c>
      <c r="BI58" s="1">
        <f>IFERROR(VLOOKUP(Tabla5[[#This Row],[Producto 18]],Tabla3[[Nombre]:[Ud]],5,FALSE)*Tabla5[[#This Row],[Cantidad 18]],0)</f>
        <v>0</v>
      </c>
      <c r="BL58" s="1">
        <f>IFERROR(VLOOKUP(Tabla5[[#This Row],[Producto 19]],Tabla3[[Nombre]:[Ud]],5,FALSE)*Tabla5[[#This Row],[Cantidad 19]],0)</f>
        <v>0</v>
      </c>
      <c r="BO58" s="1">
        <f>IFERROR(VLOOKUP(Tabla5[[#This Row],[Producto 20]],Tabla3[[Nombre]:[Ud]],5,FALSE)*Tabla5[[#This Row],[Cantidad 20]],0)</f>
        <v>0</v>
      </c>
      <c r="BR58" s="1">
        <f>IFERROR(VLOOKUP(Tabla5[[#This Row],[Producto 21]],Tabla3[[Nombre]:[Ud]],5,FALSE)*Tabla5[[#This Row],[Cantidad 21]],0)</f>
        <v>0</v>
      </c>
      <c r="BU58" s="1">
        <f>IFERROR(VLOOKUP(Tabla5[[#This Row],[Producto 22]],Tabla3[[Nombre]:[Ud]],5,FALSE)*Tabla5[[#This Row],[Cantidad 22]],0)</f>
        <v>0</v>
      </c>
      <c r="BX58" s="1">
        <f>IFERROR(VLOOKUP(Tabla5[[#This Row],[Producto 23]],Tabla3[[Nombre]:[Ud]],5,FALSE)*Tabla5[[#This Row],[Cantidad 23]],0)</f>
        <v>0</v>
      </c>
      <c r="CA58" s="1">
        <f>IFERROR(VLOOKUP(Tabla5[[#This Row],[Producto 24]],Tabla3[[Nombre]:[Ud]],5,FALSE)*Tabla5[[#This Row],[Cantidad 24]],0)</f>
        <v>0</v>
      </c>
      <c r="CD58" s="1">
        <f>IFERROR(VLOOKUP(Tabla5[[#This Row],[Producto 25]],Tabla3[[Nombre]:[Ud]],5,FALSE)*Tabla5[[#This Row],[Cantidad 25]],0)</f>
        <v>0</v>
      </c>
      <c r="CG58" s="1">
        <f>IFERROR(VLOOKUP(Tabla5[[#This Row],[Producto 26]],Tabla3[[Nombre]:[Ud]],5,FALSE)*Tabla5[[#This Row],[Cantidad 26]],0)</f>
        <v>0</v>
      </c>
      <c r="CJ58" s="1">
        <f>IFERROR(VLOOKUP(Tabla5[[#This Row],[Producto 27]],Tabla3[[Nombre]:[Ud]],5,FALSE)*Tabla5[[#This Row],[Cantidad 27]],0)</f>
        <v>0</v>
      </c>
      <c r="CM58" s="1">
        <f>IFERROR(VLOOKUP(Tabla5[[#This Row],[Producto 28]],Tabla3[[Nombre]:[Ud]],5,FALSE)*Tabla5[[#This Row],[Cantidad 28]],0)</f>
        <v>0</v>
      </c>
      <c r="CP58" s="1">
        <f>IFERROR(VLOOKUP(Tabla5[[#This Row],[Producto 29]],Tabla3[[Nombre]:[Ud]],5,FALSE)*Tabla5[[#This Row],[Cantidad 29]],0)</f>
        <v>0</v>
      </c>
      <c r="CS58" s="1">
        <f>IFERROR(VLOOKUP(Tabla5[[#This Row],[Producto 30]],Tabla3[[Nombre]:[Ud]],5,FALSE)*Tabla5[[#This Row],[Cantidad 30]],0)</f>
        <v>0</v>
      </c>
    </row>
    <row r="59" spans="1:97" x14ac:dyDescent="0.35">
      <c r="A59">
        <v>57</v>
      </c>
      <c r="D59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59" s="1">
        <f>Tabla5[[#This Row],[Minutos]]*Tabla13[[#Totals],[Precio Unitario]]</f>
        <v>0</v>
      </c>
      <c r="G59" s="1">
        <f>IFERROR(VLOOKUP(Tabla5[[#This Row],[Persona]],Tabla1[[Nombre]:[Ud]],7,FALSE) *Tabla5[[#This Row],[Minutos]],0)</f>
        <v>0</v>
      </c>
      <c r="J59" s="1">
        <f>IFERROR(VLOOKUP(Tabla5[[#This Row],[Producto 1]],Tabla3[[Nombre]:[Ud]],5,FALSE)*Tabla5[[#This Row],[Cantidad 1]],0)</f>
        <v>0</v>
      </c>
      <c r="M59" s="1">
        <f>IFERROR(VLOOKUP(Tabla5[[#This Row],[Producto 2]],Tabla3[[Nombre]:[Ud]],5,FALSE)*Tabla5[[#This Row],[Cantidad 2]],0)</f>
        <v>0</v>
      </c>
      <c r="P59" s="1">
        <f>IFERROR(VLOOKUP(Tabla5[[#This Row],[Producto 3]],Tabla3[[Nombre]:[Ud]],5,FALSE)*Tabla5[[#This Row],[Cantidad 3]],0)</f>
        <v>0</v>
      </c>
      <c r="S59" s="1">
        <f>IFERROR(VLOOKUP(Tabla5[[#This Row],[Producto 4]],Tabla3[[Nombre]:[Ud]],5,FALSE)*Tabla5[[#This Row],[Cantidad 4]],0)</f>
        <v>0</v>
      </c>
      <c r="V59" s="1">
        <f>IFERROR(VLOOKUP(Tabla5[[#This Row],[Producto 5]],Tabla3[[Nombre]:[Ud]],5,FALSE)*Tabla5[[#This Row],[Cantidad 5]],0)</f>
        <v>0</v>
      </c>
      <c r="Y59" s="1">
        <f>IFERROR(VLOOKUP(Tabla5[[#This Row],[Producto 6]],Tabla3[[Nombre]:[Ud]],5,FALSE)*Tabla5[[#This Row],[Cantidad 6]],0)</f>
        <v>0</v>
      </c>
      <c r="AB59" s="1">
        <f>IFERROR(VLOOKUP(Tabla5[[#This Row],[Producto 7]],Tabla3[[Nombre]:[Ud]],5,FALSE)*Tabla5[[#This Row],[Cantidad 7]],0)</f>
        <v>0</v>
      </c>
      <c r="AE59" s="1">
        <f>IFERROR(VLOOKUP(Tabla5[[#This Row],[Producto 8]],Tabla3[[Nombre]:[Ud]],5,FALSE)*Tabla5[[#This Row],[Cantidad 8]],0)</f>
        <v>0</v>
      </c>
      <c r="AH59" s="1">
        <f>IFERROR(VLOOKUP(Tabla5[[#This Row],[Producto 9]],Tabla3[[Nombre]:[Ud]],5,FALSE)*Tabla5[[#This Row],[Cantidad 9]],0)</f>
        <v>0</v>
      </c>
      <c r="AK59" s="1">
        <f>IFERROR(VLOOKUP(Tabla5[[#This Row],[Producto 10]],Tabla3[[Nombre]:[Ud]],5,FALSE)*Tabla5[[#This Row],[Cantidad 10]],0)</f>
        <v>0</v>
      </c>
      <c r="AN59" s="1">
        <f>IFERROR(VLOOKUP(Tabla5[[#This Row],[Producto 11]],Tabla3[[Nombre]:[Ud]],5,FALSE)*Tabla5[[#This Row],[Cantidad 11]],0)</f>
        <v>0</v>
      </c>
      <c r="AQ59" s="1">
        <f>IFERROR(VLOOKUP(Tabla5[[#This Row],[Producto 12]],Tabla3[[Nombre]:[Ud]],5,FALSE)*Tabla5[[#This Row],[Cantidad 12]],0)</f>
        <v>0</v>
      </c>
      <c r="AT59" s="1">
        <f>IFERROR(VLOOKUP(Tabla5[[#This Row],[Producto 13]],Tabla3[[Nombre]:[Ud]],5,FALSE)*Tabla5[[#This Row],[Cantidad 13]],0)</f>
        <v>0</v>
      </c>
      <c r="AW59" s="1">
        <f>IFERROR(VLOOKUP(Tabla5[[#This Row],[Producto 14]],Tabla3[[Nombre]:[Ud]],5,FALSE)*Tabla5[[#This Row],[Cantidad 14]],0)</f>
        <v>0</v>
      </c>
      <c r="AZ59" s="1">
        <f>IFERROR(VLOOKUP(Tabla5[[#This Row],[Producto 15]],Tabla3[[Nombre]:[Ud]],5,FALSE)*Tabla5[[#This Row],[Cantidad 15]],0)</f>
        <v>0</v>
      </c>
      <c r="BC59" s="1">
        <f>IFERROR(VLOOKUP(Tabla5[[#This Row],[Producto 16]],Tabla3[[Nombre]:[Ud]],5,FALSE)*Tabla5[[#This Row],[Cantidad 16]],0)</f>
        <v>0</v>
      </c>
      <c r="BF59" s="1">
        <f>IFERROR(VLOOKUP(Tabla5[[#This Row],[Producto 17]],Tabla3[[Nombre]:[Ud]],5,FALSE)*Tabla5[[#This Row],[Cantidad 17]],0)</f>
        <v>0</v>
      </c>
      <c r="BI59" s="1">
        <f>IFERROR(VLOOKUP(Tabla5[[#This Row],[Producto 18]],Tabla3[[Nombre]:[Ud]],5,FALSE)*Tabla5[[#This Row],[Cantidad 18]],0)</f>
        <v>0</v>
      </c>
      <c r="BL59" s="1">
        <f>IFERROR(VLOOKUP(Tabla5[[#This Row],[Producto 19]],Tabla3[[Nombre]:[Ud]],5,FALSE)*Tabla5[[#This Row],[Cantidad 19]],0)</f>
        <v>0</v>
      </c>
      <c r="BO59" s="1">
        <f>IFERROR(VLOOKUP(Tabla5[[#This Row],[Producto 20]],Tabla3[[Nombre]:[Ud]],5,FALSE)*Tabla5[[#This Row],[Cantidad 20]],0)</f>
        <v>0</v>
      </c>
      <c r="BR59" s="1">
        <f>IFERROR(VLOOKUP(Tabla5[[#This Row],[Producto 21]],Tabla3[[Nombre]:[Ud]],5,FALSE)*Tabla5[[#This Row],[Cantidad 21]],0)</f>
        <v>0</v>
      </c>
      <c r="BU59" s="1">
        <f>IFERROR(VLOOKUP(Tabla5[[#This Row],[Producto 22]],Tabla3[[Nombre]:[Ud]],5,FALSE)*Tabla5[[#This Row],[Cantidad 22]],0)</f>
        <v>0</v>
      </c>
      <c r="BX59" s="1">
        <f>IFERROR(VLOOKUP(Tabla5[[#This Row],[Producto 23]],Tabla3[[Nombre]:[Ud]],5,FALSE)*Tabla5[[#This Row],[Cantidad 23]],0)</f>
        <v>0</v>
      </c>
      <c r="CA59" s="1">
        <f>IFERROR(VLOOKUP(Tabla5[[#This Row],[Producto 24]],Tabla3[[Nombre]:[Ud]],5,FALSE)*Tabla5[[#This Row],[Cantidad 24]],0)</f>
        <v>0</v>
      </c>
      <c r="CD59" s="1">
        <f>IFERROR(VLOOKUP(Tabla5[[#This Row],[Producto 25]],Tabla3[[Nombre]:[Ud]],5,FALSE)*Tabla5[[#This Row],[Cantidad 25]],0)</f>
        <v>0</v>
      </c>
      <c r="CG59" s="1">
        <f>IFERROR(VLOOKUP(Tabla5[[#This Row],[Producto 26]],Tabla3[[Nombre]:[Ud]],5,FALSE)*Tabla5[[#This Row],[Cantidad 26]],0)</f>
        <v>0</v>
      </c>
      <c r="CJ59" s="1">
        <f>IFERROR(VLOOKUP(Tabla5[[#This Row],[Producto 27]],Tabla3[[Nombre]:[Ud]],5,FALSE)*Tabla5[[#This Row],[Cantidad 27]],0)</f>
        <v>0</v>
      </c>
      <c r="CM59" s="1">
        <f>IFERROR(VLOOKUP(Tabla5[[#This Row],[Producto 28]],Tabla3[[Nombre]:[Ud]],5,FALSE)*Tabla5[[#This Row],[Cantidad 28]],0)</f>
        <v>0</v>
      </c>
      <c r="CP59" s="1">
        <f>IFERROR(VLOOKUP(Tabla5[[#This Row],[Producto 29]],Tabla3[[Nombre]:[Ud]],5,FALSE)*Tabla5[[#This Row],[Cantidad 29]],0)</f>
        <v>0</v>
      </c>
      <c r="CS59" s="1">
        <f>IFERROR(VLOOKUP(Tabla5[[#This Row],[Producto 30]],Tabla3[[Nombre]:[Ud]],5,FALSE)*Tabla5[[#This Row],[Cantidad 30]],0)</f>
        <v>0</v>
      </c>
    </row>
    <row r="60" spans="1:97" x14ac:dyDescent="0.35">
      <c r="A60">
        <v>58</v>
      </c>
      <c r="D60" s="4">
        <f>Tabla5[[#This Row],[Gastos Generales]]+Tabla5[[#This Row],[Coste Persona]]+Tabla5[[#This Row],[Coste 1]]+Tabla5[[#This Row],[Coste 2]]+Tabla5[[#This Row],[Coste 3]]+Tabla5[[#This Row],[Coste 4]]+Tabla5[[#This Row],[Coste 5]]+Tabla5[[#This Row],[Coste 6]]+Tabla5[[#This Row],[Coste 7]]+Tabla5[[#This Row],[Coste 8]]+Tabla5[[#This Row],[Coste 9]]+Tabla5[[#This Row],[Coste 10]]+Tabla5[[#This Row],[Coste 11]]+Tabla5[[#This Row],[Coste 12]]+Tabla5[[#This Row],[Coste 13]]+Tabla5[[#This Row],[Coste 14]]+Tabla5[[#This Row],[Coste 15]]+Tabla5[[#This Row],[Coste 16]]+Tabla5[[#This Row],[Coste 17]]+Tabla5[[#This Row],[Coste 18]]+Tabla5[[#This Row],[Coste 19]]+Tabla5[[#This Row],[Coste 20]]+Tabla5[[#This Row],[Coste 21]]+Tabla5[[#This Row],[Coste 22]]+Tabla5[[#This Row],[Coste 23]]+Tabla5[[#This Row],[Coste 24]]+Tabla5[[#This Row],[Coste 25]]+Tabla5[[#This Row],[Coste 26]]+Tabla5[[#This Row],[Coste 27]]+Tabla5[[#This Row],[Coste 28]]+Tabla5[[#This Row],[Coste 29]]+Tabla5[[#This Row],[Coste 30]]</f>
        <v>0</v>
      </c>
      <c r="E60" s="1">
        <f>Tabla5[[#This Row],[Minutos]]*Tabla13[[#Totals],[Precio Unitario]]</f>
        <v>0</v>
      </c>
      <c r="G60" s="1">
        <f>IFERROR(VLOOKUP(Tabla5[[#This Row],[Persona]],Tabla1[[Nombre]:[Ud]],7,FALSE) *Tabla5[[#This Row],[Minutos]],0)</f>
        <v>0</v>
      </c>
      <c r="J60" s="1">
        <f>IFERROR(VLOOKUP(Tabla5[[#This Row],[Producto 1]],Tabla3[[Nombre]:[Ud]],5,FALSE)*Tabla5[[#This Row],[Cantidad 1]],0)</f>
        <v>0</v>
      </c>
      <c r="M60" s="1">
        <f>IFERROR(VLOOKUP(Tabla5[[#This Row],[Producto 2]],Tabla3[[Nombre]:[Ud]],5,FALSE)*Tabla5[[#This Row],[Cantidad 2]],0)</f>
        <v>0</v>
      </c>
      <c r="P60" s="1">
        <f>IFERROR(VLOOKUP(Tabla5[[#This Row],[Producto 3]],Tabla3[[Nombre]:[Ud]],5,FALSE)*Tabla5[[#This Row],[Cantidad 3]],0)</f>
        <v>0</v>
      </c>
      <c r="S60" s="1">
        <f>IFERROR(VLOOKUP(Tabla5[[#This Row],[Producto 4]],Tabla3[[Nombre]:[Ud]],5,FALSE)*Tabla5[[#This Row],[Cantidad 4]],0)</f>
        <v>0</v>
      </c>
      <c r="V60" s="1">
        <f>IFERROR(VLOOKUP(Tabla5[[#This Row],[Producto 5]],Tabla3[[Nombre]:[Ud]],5,FALSE)*Tabla5[[#This Row],[Cantidad 5]],0)</f>
        <v>0</v>
      </c>
      <c r="Y60" s="1">
        <f>IFERROR(VLOOKUP(Tabla5[[#This Row],[Producto 6]],Tabla3[[Nombre]:[Ud]],5,FALSE)*Tabla5[[#This Row],[Cantidad 6]],0)</f>
        <v>0</v>
      </c>
      <c r="AB60" s="1">
        <f>IFERROR(VLOOKUP(Tabla5[[#This Row],[Producto 7]],Tabla3[[Nombre]:[Ud]],5,FALSE)*Tabla5[[#This Row],[Cantidad 7]],0)</f>
        <v>0</v>
      </c>
      <c r="AE60" s="1">
        <f>IFERROR(VLOOKUP(Tabla5[[#This Row],[Producto 8]],Tabla3[[Nombre]:[Ud]],5,FALSE)*Tabla5[[#This Row],[Cantidad 8]],0)</f>
        <v>0</v>
      </c>
      <c r="AH60" s="1">
        <f>IFERROR(VLOOKUP(Tabla5[[#This Row],[Producto 9]],Tabla3[[Nombre]:[Ud]],5,FALSE)*Tabla5[[#This Row],[Cantidad 9]],0)</f>
        <v>0</v>
      </c>
      <c r="AK60" s="1">
        <f>IFERROR(VLOOKUP(Tabla5[[#This Row],[Producto 10]],Tabla3[[Nombre]:[Ud]],5,FALSE)*Tabla5[[#This Row],[Cantidad 10]],0)</f>
        <v>0</v>
      </c>
      <c r="AN60" s="1">
        <f>IFERROR(VLOOKUP(Tabla5[[#This Row],[Producto 11]],Tabla3[[Nombre]:[Ud]],5,FALSE)*Tabla5[[#This Row],[Cantidad 11]],0)</f>
        <v>0</v>
      </c>
      <c r="AQ60" s="1">
        <f>IFERROR(VLOOKUP(Tabla5[[#This Row],[Producto 12]],Tabla3[[Nombre]:[Ud]],5,FALSE)*Tabla5[[#This Row],[Cantidad 12]],0)</f>
        <v>0</v>
      </c>
      <c r="AT60" s="1">
        <f>IFERROR(VLOOKUP(Tabla5[[#This Row],[Producto 13]],Tabla3[[Nombre]:[Ud]],5,FALSE)*Tabla5[[#This Row],[Cantidad 13]],0)</f>
        <v>0</v>
      </c>
      <c r="AW60" s="1">
        <f>IFERROR(VLOOKUP(Tabla5[[#This Row],[Producto 14]],Tabla3[[Nombre]:[Ud]],5,FALSE)*Tabla5[[#This Row],[Cantidad 14]],0)</f>
        <v>0</v>
      </c>
      <c r="AZ60" s="1">
        <f>IFERROR(VLOOKUP(Tabla5[[#This Row],[Producto 15]],Tabla3[[Nombre]:[Ud]],5,FALSE)*Tabla5[[#This Row],[Cantidad 15]],0)</f>
        <v>0</v>
      </c>
      <c r="BC60" s="1">
        <f>IFERROR(VLOOKUP(Tabla5[[#This Row],[Producto 16]],Tabla3[[Nombre]:[Ud]],5,FALSE)*Tabla5[[#This Row],[Cantidad 16]],0)</f>
        <v>0</v>
      </c>
      <c r="BF60" s="1">
        <f>IFERROR(VLOOKUP(Tabla5[[#This Row],[Producto 17]],Tabla3[[Nombre]:[Ud]],5,FALSE)*Tabla5[[#This Row],[Cantidad 17]],0)</f>
        <v>0</v>
      </c>
      <c r="BI60" s="1">
        <f>IFERROR(VLOOKUP(Tabla5[[#This Row],[Producto 18]],Tabla3[[Nombre]:[Ud]],5,FALSE)*Tabla5[[#This Row],[Cantidad 18]],0)</f>
        <v>0</v>
      </c>
      <c r="BL60" s="1">
        <f>IFERROR(VLOOKUP(Tabla5[[#This Row],[Producto 19]],Tabla3[[Nombre]:[Ud]],5,FALSE)*Tabla5[[#This Row],[Cantidad 19]],0)</f>
        <v>0</v>
      </c>
      <c r="BO60" s="1">
        <f>IFERROR(VLOOKUP(Tabla5[[#This Row],[Producto 20]],Tabla3[[Nombre]:[Ud]],5,FALSE)*Tabla5[[#This Row],[Cantidad 20]],0)</f>
        <v>0</v>
      </c>
      <c r="BR60" s="1">
        <f>IFERROR(VLOOKUP(Tabla5[[#This Row],[Producto 21]],Tabla3[[Nombre]:[Ud]],5,FALSE)*Tabla5[[#This Row],[Cantidad 21]],0)</f>
        <v>0</v>
      </c>
      <c r="BU60" s="1">
        <f>IFERROR(VLOOKUP(Tabla5[[#This Row],[Producto 22]],Tabla3[[Nombre]:[Ud]],5,FALSE)*Tabla5[[#This Row],[Cantidad 22]],0)</f>
        <v>0</v>
      </c>
      <c r="BX60" s="1">
        <f>IFERROR(VLOOKUP(Tabla5[[#This Row],[Producto 23]],Tabla3[[Nombre]:[Ud]],5,FALSE)*Tabla5[[#This Row],[Cantidad 23]],0)</f>
        <v>0</v>
      </c>
      <c r="CA60" s="1">
        <f>IFERROR(VLOOKUP(Tabla5[[#This Row],[Producto 24]],Tabla3[[Nombre]:[Ud]],5,FALSE)*Tabla5[[#This Row],[Cantidad 24]],0)</f>
        <v>0</v>
      </c>
      <c r="CD60" s="1">
        <f>IFERROR(VLOOKUP(Tabla5[[#This Row],[Producto 25]],Tabla3[[Nombre]:[Ud]],5,FALSE)*Tabla5[[#This Row],[Cantidad 25]],0)</f>
        <v>0</v>
      </c>
      <c r="CG60" s="1">
        <f>IFERROR(VLOOKUP(Tabla5[[#This Row],[Producto 26]],Tabla3[[Nombre]:[Ud]],5,FALSE)*Tabla5[[#This Row],[Cantidad 26]],0)</f>
        <v>0</v>
      </c>
      <c r="CJ60" s="1">
        <f>IFERROR(VLOOKUP(Tabla5[[#This Row],[Producto 27]],Tabla3[[Nombre]:[Ud]],5,FALSE)*Tabla5[[#This Row],[Cantidad 27]],0)</f>
        <v>0</v>
      </c>
      <c r="CM60" s="1">
        <f>IFERROR(VLOOKUP(Tabla5[[#This Row],[Producto 28]],Tabla3[[Nombre]:[Ud]],5,FALSE)*Tabla5[[#This Row],[Cantidad 28]],0)</f>
        <v>0</v>
      </c>
      <c r="CP60" s="1">
        <f>IFERROR(VLOOKUP(Tabla5[[#This Row],[Producto 29]],Tabla3[[Nombre]:[Ud]],5,FALSE)*Tabla5[[#This Row],[Cantidad 29]],0)</f>
        <v>0</v>
      </c>
      <c r="CS60" s="1">
        <f>IFERROR(VLOOKUP(Tabla5[[#This Row],[Producto 30]],Tabla3[[Nombre]:[Ud]],5,FALSE)*Tabla5[[#This Row],[Cantidad 30]],0)</f>
        <v>0</v>
      </c>
    </row>
  </sheetData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BF477D-8530-4443-A842-6A1D50949B14}">
          <x14:formula1>
            <xm:f>Personal!$B$2:$B$6</xm:f>
          </x14:formula1>
          <xm:sqref>F2:F60</xm:sqref>
        </x14:dataValidation>
        <x14:dataValidation type="list" allowBlank="1" showInputMessage="1" showErrorMessage="1" xr:uid="{709609E8-06F4-4B9A-873E-98C8CC6C2512}">
          <x14:formula1>
            <xm:f>Productos!$B$2:$B$130</xm:f>
          </x14:formula1>
          <xm:sqref>H2:H60 K2:K60 N2:N60 Q2:Q60 T2:T60 W2:W60 Z2:Z60 AC2:AC60 AF2:AF60 AI2:AI60 AL2:AL60 AO2:AO60 AR2:AR60 AU2:AU60 AX2:AX60 BA2:BA60 BD2:BD60 BG2:BG60 BJ2:BJ60 BM2:BM60 BP2:BP60 BS2:BS60 BV2:BV60 BY2:BY60 CB2:CB60 CE2:CE60 CH2:CH60 CK2:CK60 CN2:CN60 CQ2:CQ60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7DF9-6604-4E0E-87BF-81E3DA2F5B4E}">
  <dimension ref="A1:G130"/>
  <sheetViews>
    <sheetView topLeftCell="A8" workbookViewId="0">
      <selection activeCell="F20" sqref="F20"/>
    </sheetView>
  </sheetViews>
  <sheetFormatPr baseColWidth="10" defaultRowHeight="14.5" x14ac:dyDescent="0.35"/>
  <cols>
    <col min="2" max="2" width="14.90625" bestFit="1" customWidth="1"/>
    <col min="4" max="4" width="11.90625" customWidth="1"/>
    <col min="5" max="5" width="10.90625" style="1"/>
    <col min="6" max="6" width="15.08984375" style="1" customWidth="1"/>
  </cols>
  <sheetData>
    <row r="1" spans="1:7" x14ac:dyDescent="0.35">
      <c r="A1" t="s">
        <v>5</v>
      </c>
      <c r="B1" t="s">
        <v>0</v>
      </c>
      <c r="C1" t="s">
        <v>1</v>
      </c>
      <c r="D1" t="s">
        <v>6</v>
      </c>
      <c r="E1" s="1" t="s">
        <v>2</v>
      </c>
      <c r="F1" s="1" t="s">
        <v>3</v>
      </c>
      <c r="G1" t="s">
        <v>9</v>
      </c>
    </row>
    <row r="2" spans="1:7" x14ac:dyDescent="0.35">
      <c r="A2">
        <v>1</v>
      </c>
      <c r="B2" t="s">
        <v>124</v>
      </c>
      <c r="C2">
        <v>500</v>
      </c>
      <c r="D2" t="s">
        <v>7</v>
      </c>
      <c r="E2" s="1">
        <v>34.51</v>
      </c>
      <c r="F2" s="1">
        <f>E2/C2</f>
        <v>6.9019999999999998E-2</v>
      </c>
      <c r="G2" t="str">
        <f>D2</f>
        <v>ml</v>
      </c>
    </row>
    <row r="3" spans="1:7" x14ac:dyDescent="0.35">
      <c r="A3">
        <v>2</v>
      </c>
      <c r="B3" t="s">
        <v>8</v>
      </c>
      <c r="C3">
        <v>500</v>
      </c>
      <c r="D3" t="s">
        <v>7</v>
      </c>
      <c r="E3" s="1">
        <v>38.5</v>
      </c>
      <c r="F3" s="1">
        <f>E3/C3</f>
        <v>7.6999999999999999E-2</v>
      </c>
      <c r="G3" t="str">
        <f>D3</f>
        <v>ml</v>
      </c>
    </row>
    <row r="4" spans="1:7" x14ac:dyDescent="0.35">
      <c r="A4">
        <v>3</v>
      </c>
      <c r="B4" t="s">
        <v>119</v>
      </c>
      <c r="C4">
        <v>50</v>
      </c>
      <c r="D4" t="s">
        <v>7</v>
      </c>
      <c r="E4" s="1">
        <v>35.29</v>
      </c>
      <c r="F4" s="1">
        <f t="shared" ref="F4:F67" si="0">E4/C4</f>
        <v>0.70579999999999998</v>
      </c>
      <c r="G4" t="str">
        <f t="shared" ref="G4:G67" si="1">D4</f>
        <v>ml</v>
      </c>
    </row>
    <row r="5" spans="1:7" x14ac:dyDescent="0.35">
      <c r="A5">
        <v>4</v>
      </c>
      <c r="B5" t="s">
        <v>120</v>
      </c>
      <c r="C5">
        <v>100</v>
      </c>
      <c r="D5" t="s">
        <v>7</v>
      </c>
      <c r="E5" s="1">
        <v>111.78</v>
      </c>
      <c r="F5" s="1">
        <f t="shared" si="0"/>
        <v>1.1177999999999999</v>
      </c>
      <c r="G5" t="str">
        <f t="shared" si="1"/>
        <v>ml</v>
      </c>
    </row>
    <row r="6" spans="1:7" x14ac:dyDescent="0.35">
      <c r="A6">
        <v>5</v>
      </c>
      <c r="B6" t="s">
        <v>121</v>
      </c>
      <c r="C6">
        <v>200</v>
      </c>
      <c r="D6" t="s">
        <v>7</v>
      </c>
      <c r="E6" s="1">
        <v>27.28</v>
      </c>
      <c r="F6" s="1">
        <f t="shared" si="0"/>
        <v>0.13639999999999999</v>
      </c>
      <c r="G6" t="str">
        <f t="shared" si="1"/>
        <v>ml</v>
      </c>
    </row>
    <row r="7" spans="1:7" x14ac:dyDescent="0.35">
      <c r="A7">
        <v>6</v>
      </c>
      <c r="B7" t="s">
        <v>122</v>
      </c>
      <c r="C7">
        <v>20</v>
      </c>
      <c r="D7" t="s">
        <v>7</v>
      </c>
      <c r="E7" s="1">
        <v>60.29</v>
      </c>
      <c r="F7" s="1">
        <f t="shared" si="0"/>
        <v>3.0145</v>
      </c>
      <c r="G7" t="str">
        <f t="shared" si="1"/>
        <v>ml</v>
      </c>
    </row>
    <row r="8" spans="1:7" x14ac:dyDescent="0.35">
      <c r="A8">
        <v>7</v>
      </c>
      <c r="B8" t="s">
        <v>123</v>
      </c>
      <c r="C8">
        <v>12</v>
      </c>
      <c r="D8" t="s">
        <v>127</v>
      </c>
      <c r="E8" s="1">
        <v>86.52</v>
      </c>
      <c r="F8" s="1">
        <f t="shared" si="0"/>
        <v>7.21</v>
      </c>
      <c r="G8" t="str">
        <f t="shared" si="1"/>
        <v>ud</v>
      </c>
    </row>
    <row r="9" spans="1:7" x14ac:dyDescent="0.35">
      <c r="A9">
        <v>8</v>
      </c>
      <c r="B9" t="s">
        <v>125</v>
      </c>
      <c r="C9">
        <v>500</v>
      </c>
      <c r="D9" t="s">
        <v>7</v>
      </c>
      <c r="E9" s="1">
        <v>109.1</v>
      </c>
      <c r="F9" s="1">
        <f t="shared" si="0"/>
        <v>0.21819999999999998</v>
      </c>
      <c r="G9" t="str">
        <f t="shared" si="1"/>
        <v>ml</v>
      </c>
    </row>
    <row r="10" spans="1:7" x14ac:dyDescent="0.35">
      <c r="A10">
        <v>9</v>
      </c>
      <c r="B10" t="s">
        <v>126</v>
      </c>
      <c r="C10">
        <v>200</v>
      </c>
      <c r="D10" t="s">
        <v>7</v>
      </c>
      <c r="E10" s="1">
        <v>66.069999999999993</v>
      </c>
      <c r="F10" s="1">
        <f t="shared" si="0"/>
        <v>0.33034999999999998</v>
      </c>
      <c r="G10" t="str">
        <f t="shared" si="1"/>
        <v>ml</v>
      </c>
    </row>
    <row r="11" spans="1:7" x14ac:dyDescent="0.35">
      <c r="A11">
        <v>10</v>
      </c>
      <c r="B11" t="s">
        <v>132</v>
      </c>
      <c r="C11">
        <v>125</v>
      </c>
      <c r="D11" t="s">
        <v>7</v>
      </c>
      <c r="E11" s="1">
        <v>22.95</v>
      </c>
      <c r="F11" s="1">
        <f t="shared" si="0"/>
        <v>0.18359999999999999</v>
      </c>
      <c r="G11" t="str">
        <f t="shared" si="1"/>
        <v>ml</v>
      </c>
    </row>
    <row r="12" spans="1:7" x14ac:dyDescent="0.35">
      <c r="A12">
        <v>11</v>
      </c>
      <c r="B12" t="s">
        <v>133</v>
      </c>
      <c r="C12">
        <v>50</v>
      </c>
      <c r="D12" t="s">
        <v>7</v>
      </c>
      <c r="E12" s="1">
        <v>190</v>
      </c>
      <c r="F12" s="1">
        <f t="shared" si="0"/>
        <v>3.8</v>
      </c>
      <c r="G12" t="str">
        <f t="shared" si="1"/>
        <v>ml</v>
      </c>
    </row>
    <row r="13" spans="1:7" x14ac:dyDescent="0.35">
      <c r="A13">
        <v>12</v>
      </c>
      <c r="B13" t="s">
        <v>134</v>
      </c>
      <c r="C13">
        <v>50</v>
      </c>
      <c r="D13" t="s">
        <v>7</v>
      </c>
      <c r="E13" s="1">
        <v>190</v>
      </c>
      <c r="F13" s="1">
        <f t="shared" si="0"/>
        <v>3.8</v>
      </c>
      <c r="G13" t="str">
        <f t="shared" si="1"/>
        <v>ml</v>
      </c>
    </row>
    <row r="14" spans="1:7" x14ac:dyDescent="0.35">
      <c r="A14">
        <v>13</v>
      </c>
      <c r="B14" t="s">
        <v>135</v>
      </c>
      <c r="C14">
        <v>100</v>
      </c>
      <c r="D14" t="s">
        <v>7</v>
      </c>
      <c r="E14" s="1">
        <v>29.52</v>
      </c>
      <c r="F14" s="1">
        <f t="shared" si="0"/>
        <v>0.29520000000000002</v>
      </c>
      <c r="G14" t="str">
        <f t="shared" si="1"/>
        <v>ml</v>
      </c>
    </row>
    <row r="15" spans="1:7" x14ac:dyDescent="0.35">
      <c r="A15">
        <v>14</v>
      </c>
      <c r="B15" t="s">
        <v>136</v>
      </c>
      <c r="C15">
        <v>100</v>
      </c>
      <c r="D15" t="s">
        <v>7</v>
      </c>
      <c r="E15" s="1">
        <v>42.2</v>
      </c>
      <c r="F15" s="1">
        <f t="shared" si="0"/>
        <v>0.42200000000000004</v>
      </c>
      <c r="G15" t="str">
        <f t="shared" si="1"/>
        <v>ml</v>
      </c>
    </row>
    <row r="16" spans="1:7" x14ac:dyDescent="0.35">
      <c r="A16">
        <v>15</v>
      </c>
      <c r="B16" t="s">
        <v>137</v>
      </c>
      <c r="C16">
        <v>40</v>
      </c>
      <c r="D16" t="s">
        <v>7</v>
      </c>
      <c r="E16" s="1">
        <v>51.33</v>
      </c>
      <c r="F16" s="1">
        <f t="shared" si="0"/>
        <v>1.28325</v>
      </c>
      <c r="G16" t="str">
        <f t="shared" si="1"/>
        <v>ml</v>
      </c>
    </row>
    <row r="17" spans="1:7" x14ac:dyDescent="0.35">
      <c r="A17">
        <v>16</v>
      </c>
      <c r="B17" t="s">
        <v>138</v>
      </c>
      <c r="C17">
        <v>40</v>
      </c>
      <c r="D17" t="s">
        <v>7</v>
      </c>
      <c r="E17" s="1">
        <v>47.82</v>
      </c>
      <c r="F17" s="1">
        <f t="shared" si="0"/>
        <v>1.1955</v>
      </c>
      <c r="G17" t="str">
        <f t="shared" si="1"/>
        <v>ml</v>
      </c>
    </row>
    <row r="18" spans="1:7" x14ac:dyDescent="0.35">
      <c r="A18">
        <v>17</v>
      </c>
      <c r="B18" t="s">
        <v>139</v>
      </c>
      <c r="C18">
        <v>100</v>
      </c>
      <c r="D18" t="s">
        <v>7</v>
      </c>
      <c r="E18" s="1">
        <v>51.66</v>
      </c>
      <c r="F18" s="1">
        <f t="shared" si="0"/>
        <v>0.51659999999999995</v>
      </c>
      <c r="G18" t="str">
        <f t="shared" si="1"/>
        <v>ml</v>
      </c>
    </row>
    <row r="19" spans="1:7" x14ac:dyDescent="0.35">
      <c r="A19">
        <v>18</v>
      </c>
      <c r="B19" t="s">
        <v>140</v>
      </c>
      <c r="C19">
        <v>100</v>
      </c>
      <c r="D19" t="s">
        <v>7</v>
      </c>
      <c r="E19" s="1">
        <v>111.63</v>
      </c>
      <c r="F19" s="1">
        <f t="shared" si="0"/>
        <v>1.1162999999999998</v>
      </c>
      <c r="G19" t="str">
        <f t="shared" si="1"/>
        <v>ml</v>
      </c>
    </row>
    <row r="20" spans="1:7" x14ac:dyDescent="0.35">
      <c r="A20">
        <v>19</v>
      </c>
      <c r="B20" t="s">
        <v>141</v>
      </c>
      <c r="C20">
        <v>1</v>
      </c>
      <c r="D20" t="s">
        <v>127</v>
      </c>
      <c r="E20" s="1">
        <v>8</v>
      </c>
      <c r="F20" s="1">
        <f t="shared" si="0"/>
        <v>8</v>
      </c>
      <c r="G20" t="str">
        <f t="shared" si="1"/>
        <v>ud</v>
      </c>
    </row>
    <row r="21" spans="1:7" x14ac:dyDescent="0.35">
      <c r="A21">
        <v>20</v>
      </c>
      <c r="F21" s="1" t="e">
        <f t="shared" si="0"/>
        <v>#DIV/0!</v>
      </c>
      <c r="G21">
        <f t="shared" si="1"/>
        <v>0</v>
      </c>
    </row>
    <row r="22" spans="1:7" x14ac:dyDescent="0.35">
      <c r="A22">
        <v>21</v>
      </c>
      <c r="F22" s="1" t="e">
        <f t="shared" si="0"/>
        <v>#DIV/0!</v>
      </c>
      <c r="G22">
        <f t="shared" si="1"/>
        <v>0</v>
      </c>
    </row>
    <row r="23" spans="1:7" x14ac:dyDescent="0.35">
      <c r="A23">
        <v>22</v>
      </c>
      <c r="F23" s="1" t="e">
        <f t="shared" si="0"/>
        <v>#DIV/0!</v>
      </c>
      <c r="G23">
        <f t="shared" si="1"/>
        <v>0</v>
      </c>
    </row>
    <row r="24" spans="1:7" x14ac:dyDescent="0.35">
      <c r="A24">
        <v>23</v>
      </c>
      <c r="F24" s="1" t="e">
        <f t="shared" si="0"/>
        <v>#DIV/0!</v>
      </c>
      <c r="G24">
        <f t="shared" si="1"/>
        <v>0</v>
      </c>
    </row>
    <row r="25" spans="1:7" x14ac:dyDescent="0.35">
      <c r="A25">
        <v>24</v>
      </c>
      <c r="F25" s="1" t="e">
        <f t="shared" si="0"/>
        <v>#DIV/0!</v>
      </c>
      <c r="G25">
        <f t="shared" si="1"/>
        <v>0</v>
      </c>
    </row>
    <row r="26" spans="1:7" x14ac:dyDescent="0.35">
      <c r="A26">
        <v>25</v>
      </c>
      <c r="F26" s="1" t="e">
        <f t="shared" si="0"/>
        <v>#DIV/0!</v>
      </c>
      <c r="G26">
        <f t="shared" si="1"/>
        <v>0</v>
      </c>
    </row>
    <row r="27" spans="1:7" x14ac:dyDescent="0.35">
      <c r="A27">
        <v>26</v>
      </c>
      <c r="F27" s="1" t="e">
        <f t="shared" si="0"/>
        <v>#DIV/0!</v>
      </c>
      <c r="G27">
        <f t="shared" si="1"/>
        <v>0</v>
      </c>
    </row>
    <row r="28" spans="1:7" x14ac:dyDescent="0.35">
      <c r="A28">
        <v>27</v>
      </c>
      <c r="F28" s="1" t="e">
        <f t="shared" si="0"/>
        <v>#DIV/0!</v>
      </c>
      <c r="G28">
        <f t="shared" si="1"/>
        <v>0</v>
      </c>
    </row>
    <row r="29" spans="1:7" x14ac:dyDescent="0.35">
      <c r="A29">
        <v>28</v>
      </c>
      <c r="F29" s="1" t="e">
        <f t="shared" si="0"/>
        <v>#DIV/0!</v>
      </c>
      <c r="G29">
        <f t="shared" si="1"/>
        <v>0</v>
      </c>
    </row>
    <row r="30" spans="1:7" x14ac:dyDescent="0.35">
      <c r="A30">
        <v>29</v>
      </c>
      <c r="F30" s="1" t="e">
        <f t="shared" si="0"/>
        <v>#DIV/0!</v>
      </c>
      <c r="G30">
        <f t="shared" si="1"/>
        <v>0</v>
      </c>
    </row>
    <row r="31" spans="1:7" x14ac:dyDescent="0.35">
      <c r="A31">
        <v>30</v>
      </c>
      <c r="F31" s="1" t="e">
        <f t="shared" si="0"/>
        <v>#DIV/0!</v>
      </c>
      <c r="G31">
        <f t="shared" si="1"/>
        <v>0</v>
      </c>
    </row>
    <row r="32" spans="1:7" x14ac:dyDescent="0.35">
      <c r="A32">
        <v>31</v>
      </c>
      <c r="F32" s="1" t="e">
        <f t="shared" si="0"/>
        <v>#DIV/0!</v>
      </c>
      <c r="G32">
        <f t="shared" si="1"/>
        <v>0</v>
      </c>
    </row>
    <row r="33" spans="1:7" x14ac:dyDescent="0.35">
      <c r="A33">
        <v>32</v>
      </c>
      <c r="F33" s="1" t="e">
        <f t="shared" si="0"/>
        <v>#DIV/0!</v>
      </c>
      <c r="G33">
        <f t="shared" si="1"/>
        <v>0</v>
      </c>
    </row>
    <row r="34" spans="1:7" x14ac:dyDescent="0.35">
      <c r="A34">
        <v>33</v>
      </c>
      <c r="F34" s="1" t="e">
        <f t="shared" si="0"/>
        <v>#DIV/0!</v>
      </c>
      <c r="G34">
        <f t="shared" si="1"/>
        <v>0</v>
      </c>
    </row>
    <row r="35" spans="1:7" x14ac:dyDescent="0.35">
      <c r="A35">
        <v>34</v>
      </c>
      <c r="F35" s="1" t="e">
        <f t="shared" si="0"/>
        <v>#DIV/0!</v>
      </c>
      <c r="G35">
        <f t="shared" si="1"/>
        <v>0</v>
      </c>
    </row>
    <row r="36" spans="1:7" x14ac:dyDescent="0.35">
      <c r="A36">
        <v>35</v>
      </c>
      <c r="F36" s="1" t="e">
        <f t="shared" si="0"/>
        <v>#DIV/0!</v>
      </c>
      <c r="G36">
        <f t="shared" si="1"/>
        <v>0</v>
      </c>
    </row>
    <row r="37" spans="1:7" x14ac:dyDescent="0.35">
      <c r="A37">
        <v>36</v>
      </c>
      <c r="F37" s="1" t="e">
        <f t="shared" si="0"/>
        <v>#DIV/0!</v>
      </c>
      <c r="G37">
        <f t="shared" si="1"/>
        <v>0</v>
      </c>
    </row>
    <row r="38" spans="1:7" x14ac:dyDescent="0.35">
      <c r="A38">
        <v>37</v>
      </c>
      <c r="F38" s="1" t="e">
        <f t="shared" si="0"/>
        <v>#DIV/0!</v>
      </c>
      <c r="G38">
        <f t="shared" si="1"/>
        <v>0</v>
      </c>
    </row>
    <row r="39" spans="1:7" x14ac:dyDescent="0.35">
      <c r="A39">
        <v>38</v>
      </c>
      <c r="F39" s="1" t="e">
        <f t="shared" si="0"/>
        <v>#DIV/0!</v>
      </c>
      <c r="G39">
        <f t="shared" si="1"/>
        <v>0</v>
      </c>
    </row>
    <row r="40" spans="1:7" x14ac:dyDescent="0.35">
      <c r="A40">
        <v>39</v>
      </c>
      <c r="F40" s="1" t="e">
        <f t="shared" si="0"/>
        <v>#DIV/0!</v>
      </c>
      <c r="G40">
        <f t="shared" si="1"/>
        <v>0</v>
      </c>
    </row>
    <row r="41" spans="1:7" x14ac:dyDescent="0.35">
      <c r="A41">
        <v>40</v>
      </c>
      <c r="F41" s="1" t="e">
        <f t="shared" si="0"/>
        <v>#DIV/0!</v>
      </c>
      <c r="G41">
        <f t="shared" si="1"/>
        <v>0</v>
      </c>
    </row>
    <row r="42" spans="1:7" x14ac:dyDescent="0.35">
      <c r="A42">
        <v>41</v>
      </c>
      <c r="F42" s="1" t="e">
        <f t="shared" si="0"/>
        <v>#DIV/0!</v>
      </c>
      <c r="G42">
        <f t="shared" si="1"/>
        <v>0</v>
      </c>
    </row>
    <row r="43" spans="1:7" x14ac:dyDescent="0.35">
      <c r="A43">
        <v>42</v>
      </c>
      <c r="F43" s="1" t="e">
        <f t="shared" si="0"/>
        <v>#DIV/0!</v>
      </c>
      <c r="G43">
        <f t="shared" si="1"/>
        <v>0</v>
      </c>
    </row>
    <row r="44" spans="1:7" x14ac:dyDescent="0.35">
      <c r="A44">
        <v>43</v>
      </c>
      <c r="F44" s="1" t="e">
        <f t="shared" si="0"/>
        <v>#DIV/0!</v>
      </c>
      <c r="G44">
        <f t="shared" si="1"/>
        <v>0</v>
      </c>
    </row>
    <row r="45" spans="1:7" x14ac:dyDescent="0.35">
      <c r="A45">
        <v>44</v>
      </c>
      <c r="F45" s="1" t="e">
        <f t="shared" si="0"/>
        <v>#DIV/0!</v>
      </c>
      <c r="G45">
        <f t="shared" si="1"/>
        <v>0</v>
      </c>
    </row>
    <row r="46" spans="1:7" x14ac:dyDescent="0.35">
      <c r="A46">
        <v>45</v>
      </c>
      <c r="F46" s="1" t="e">
        <f t="shared" si="0"/>
        <v>#DIV/0!</v>
      </c>
      <c r="G46">
        <f t="shared" si="1"/>
        <v>0</v>
      </c>
    </row>
    <row r="47" spans="1:7" x14ac:dyDescent="0.35">
      <c r="A47">
        <v>46</v>
      </c>
      <c r="F47" s="1" t="e">
        <f t="shared" si="0"/>
        <v>#DIV/0!</v>
      </c>
      <c r="G47">
        <f t="shared" si="1"/>
        <v>0</v>
      </c>
    </row>
    <row r="48" spans="1:7" x14ac:dyDescent="0.35">
      <c r="A48">
        <v>47</v>
      </c>
      <c r="F48" s="1" t="e">
        <f t="shared" si="0"/>
        <v>#DIV/0!</v>
      </c>
      <c r="G48">
        <f t="shared" si="1"/>
        <v>0</v>
      </c>
    </row>
    <row r="49" spans="1:7" x14ac:dyDescent="0.35">
      <c r="A49">
        <v>48</v>
      </c>
      <c r="F49" s="1" t="e">
        <f t="shared" si="0"/>
        <v>#DIV/0!</v>
      </c>
      <c r="G49">
        <f t="shared" si="1"/>
        <v>0</v>
      </c>
    </row>
    <row r="50" spans="1:7" x14ac:dyDescent="0.35">
      <c r="A50">
        <v>49</v>
      </c>
      <c r="F50" s="1" t="e">
        <f t="shared" si="0"/>
        <v>#DIV/0!</v>
      </c>
      <c r="G50">
        <f t="shared" si="1"/>
        <v>0</v>
      </c>
    </row>
    <row r="51" spans="1:7" x14ac:dyDescent="0.35">
      <c r="A51">
        <v>50</v>
      </c>
      <c r="F51" s="1" t="e">
        <f t="shared" si="0"/>
        <v>#DIV/0!</v>
      </c>
      <c r="G51">
        <f t="shared" si="1"/>
        <v>0</v>
      </c>
    </row>
    <row r="52" spans="1:7" x14ac:dyDescent="0.35">
      <c r="A52">
        <v>51</v>
      </c>
      <c r="F52" s="1" t="e">
        <f t="shared" si="0"/>
        <v>#DIV/0!</v>
      </c>
      <c r="G52">
        <f t="shared" si="1"/>
        <v>0</v>
      </c>
    </row>
    <row r="53" spans="1:7" x14ac:dyDescent="0.35">
      <c r="A53">
        <v>52</v>
      </c>
      <c r="F53" s="1" t="e">
        <f t="shared" si="0"/>
        <v>#DIV/0!</v>
      </c>
      <c r="G53">
        <f t="shared" si="1"/>
        <v>0</v>
      </c>
    </row>
    <row r="54" spans="1:7" x14ac:dyDescent="0.35">
      <c r="A54">
        <v>53</v>
      </c>
      <c r="F54" s="1" t="e">
        <f t="shared" si="0"/>
        <v>#DIV/0!</v>
      </c>
      <c r="G54">
        <f t="shared" si="1"/>
        <v>0</v>
      </c>
    </row>
    <row r="55" spans="1:7" x14ac:dyDescent="0.35">
      <c r="A55">
        <v>54</v>
      </c>
      <c r="F55" s="1" t="e">
        <f t="shared" si="0"/>
        <v>#DIV/0!</v>
      </c>
      <c r="G55">
        <f t="shared" si="1"/>
        <v>0</v>
      </c>
    </row>
    <row r="56" spans="1:7" x14ac:dyDescent="0.35">
      <c r="A56">
        <v>55</v>
      </c>
      <c r="F56" s="1" t="e">
        <f t="shared" si="0"/>
        <v>#DIV/0!</v>
      </c>
      <c r="G56">
        <f t="shared" si="1"/>
        <v>0</v>
      </c>
    </row>
    <row r="57" spans="1:7" x14ac:dyDescent="0.35">
      <c r="A57">
        <v>56</v>
      </c>
      <c r="F57" s="1" t="e">
        <f t="shared" si="0"/>
        <v>#DIV/0!</v>
      </c>
      <c r="G57">
        <f t="shared" si="1"/>
        <v>0</v>
      </c>
    </row>
    <row r="58" spans="1:7" x14ac:dyDescent="0.35">
      <c r="A58">
        <v>57</v>
      </c>
      <c r="F58" s="1" t="e">
        <f t="shared" si="0"/>
        <v>#DIV/0!</v>
      </c>
      <c r="G58">
        <f t="shared" si="1"/>
        <v>0</v>
      </c>
    </row>
    <row r="59" spans="1:7" x14ac:dyDescent="0.35">
      <c r="A59">
        <v>58</v>
      </c>
      <c r="F59" s="1" t="e">
        <f t="shared" si="0"/>
        <v>#DIV/0!</v>
      </c>
      <c r="G59">
        <f t="shared" si="1"/>
        <v>0</v>
      </c>
    </row>
    <row r="60" spans="1:7" x14ac:dyDescent="0.35">
      <c r="A60">
        <v>59</v>
      </c>
      <c r="F60" s="1" t="e">
        <f t="shared" si="0"/>
        <v>#DIV/0!</v>
      </c>
      <c r="G60">
        <f t="shared" si="1"/>
        <v>0</v>
      </c>
    </row>
    <row r="61" spans="1:7" x14ac:dyDescent="0.35">
      <c r="A61">
        <v>60</v>
      </c>
      <c r="F61" s="1" t="e">
        <f t="shared" si="0"/>
        <v>#DIV/0!</v>
      </c>
      <c r="G61">
        <f t="shared" si="1"/>
        <v>0</v>
      </c>
    </row>
    <row r="62" spans="1:7" x14ac:dyDescent="0.35">
      <c r="A62">
        <v>61</v>
      </c>
      <c r="F62" s="1" t="e">
        <f t="shared" si="0"/>
        <v>#DIV/0!</v>
      </c>
      <c r="G62">
        <f t="shared" si="1"/>
        <v>0</v>
      </c>
    </row>
    <row r="63" spans="1:7" x14ac:dyDescent="0.35">
      <c r="A63">
        <v>62</v>
      </c>
      <c r="F63" s="1" t="e">
        <f t="shared" si="0"/>
        <v>#DIV/0!</v>
      </c>
      <c r="G63">
        <f t="shared" si="1"/>
        <v>0</v>
      </c>
    </row>
    <row r="64" spans="1:7" x14ac:dyDescent="0.35">
      <c r="A64">
        <v>63</v>
      </c>
      <c r="F64" s="1" t="e">
        <f t="shared" si="0"/>
        <v>#DIV/0!</v>
      </c>
      <c r="G64">
        <f t="shared" si="1"/>
        <v>0</v>
      </c>
    </row>
    <row r="65" spans="1:7" x14ac:dyDescent="0.35">
      <c r="A65">
        <v>64</v>
      </c>
      <c r="F65" s="1" t="e">
        <f t="shared" si="0"/>
        <v>#DIV/0!</v>
      </c>
      <c r="G65">
        <f t="shared" si="1"/>
        <v>0</v>
      </c>
    </row>
    <row r="66" spans="1:7" x14ac:dyDescent="0.35">
      <c r="A66">
        <v>65</v>
      </c>
      <c r="F66" s="1" t="e">
        <f t="shared" si="0"/>
        <v>#DIV/0!</v>
      </c>
      <c r="G66">
        <f t="shared" si="1"/>
        <v>0</v>
      </c>
    </row>
    <row r="67" spans="1:7" x14ac:dyDescent="0.35">
      <c r="A67">
        <v>66</v>
      </c>
      <c r="F67" s="1" t="e">
        <f t="shared" si="0"/>
        <v>#DIV/0!</v>
      </c>
      <c r="G67">
        <f t="shared" si="1"/>
        <v>0</v>
      </c>
    </row>
    <row r="68" spans="1:7" x14ac:dyDescent="0.35">
      <c r="A68">
        <v>67</v>
      </c>
      <c r="F68" s="1" t="e">
        <f t="shared" ref="F68:F130" si="2">E68/C68</f>
        <v>#DIV/0!</v>
      </c>
      <c r="G68">
        <f t="shared" ref="G68:G130" si="3">D68</f>
        <v>0</v>
      </c>
    </row>
    <row r="69" spans="1:7" x14ac:dyDescent="0.35">
      <c r="A69">
        <v>68</v>
      </c>
      <c r="F69" s="1" t="e">
        <f t="shared" si="2"/>
        <v>#DIV/0!</v>
      </c>
      <c r="G69">
        <f t="shared" si="3"/>
        <v>0</v>
      </c>
    </row>
    <row r="70" spans="1:7" x14ac:dyDescent="0.35">
      <c r="A70">
        <v>69</v>
      </c>
      <c r="F70" s="1" t="e">
        <f t="shared" si="2"/>
        <v>#DIV/0!</v>
      </c>
      <c r="G70">
        <f t="shared" si="3"/>
        <v>0</v>
      </c>
    </row>
    <row r="71" spans="1:7" x14ac:dyDescent="0.35">
      <c r="A71">
        <v>70</v>
      </c>
      <c r="F71" s="1" t="e">
        <f t="shared" si="2"/>
        <v>#DIV/0!</v>
      </c>
      <c r="G71">
        <f t="shared" si="3"/>
        <v>0</v>
      </c>
    </row>
    <row r="72" spans="1:7" x14ac:dyDescent="0.35">
      <c r="A72">
        <v>71</v>
      </c>
      <c r="F72" s="1" t="e">
        <f t="shared" si="2"/>
        <v>#DIV/0!</v>
      </c>
      <c r="G72">
        <f t="shared" si="3"/>
        <v>0</v>
      </c>
    </row>
    <row r="73" spans="1:7" x14ac:dyDescent="0.35">
      <c r="A73">
        <v>72</v>
      </c>
      <c r="F73" s="1" t="e">
        <f t="shared" si="2"/>
        <v>#DIV/0!</v>
      </c>
      <c r="G73">
        <f t="shared" si="3"/>
        <v>0</v>
      </c>
    </row>
    <row r="74" spans="1:7" x14ac:dyDescent="0.35">
      <c r="A74">
        <v>73</v>
      </c>
      <c r="F74" s="1" t="e">
        <f t="shared" si="2"/>
        <v>#DIV/0!</v>
      </c>
      <c r="G74">
        <f t="shared" si="3"/>
        <v>0</v>
      </c>
    </row>
    <row r="75" spans="1:7" x14ac:dyDescent="0.35">
      <c r="A75">
        <v>74</v>
      </c>
      <c r="F75" s="1" t="e">
        <f t="shared" si="2"/>
        <v>#DIV/0!</v>
      </c>
      <c r="G75">
        <f t="shared" si="3"/>
        <v>0</v>
      </c>
    </row>
    <row r="76" spans="1:7" x14ac:dyDescent="0.35">
      <c r="A76">
        <v>75</v>
      </c>
      <c r="F76" s="1" t="e">
        <f t="shared" si="2"/>
        <v>#DIV/0!</v>
      </c>
      <c r="G76">
        <f t="shared" si="3"/>
        <v>0</v>
      </c>
    </row>
    <row r="77" spans="1:7" x14ac:dyDescent="0.35">
      <c r="A77">
        <v>76</v>
      </c>
      <c r="F77" s="1" t="e">
        <f t="shared" si="2"/>
        <v>#DIV/0!</v>
      </c>
      <c r="G77">
        <f t="shared" si="3"/>
        <v>0</v>
      </c>
    </row>
    <row r="78" spans="1:7" x14ac:dyDescent="0.35">
      <c r="A78">
        <v>77</v>
      </c>
      <c r="F78" s="1" t="e">
        <f t="shared" si="2"/>
        <v>#DIV/0!</v>
      </c>
      <c r="G78">
        <f t="shared" si="3"/>
        <v>0</v>
      </c>
    </row>
    <row r="79" spans="1:7" x14ac:dyDescent="0.35">
      <c r="A79">
        <v>78</v>
      </c>
      <c r="F79" s="1" t="e">
        <f t="shared" si="2"/>
        <v>#DIV/0!</v>
      </c>
      <c r="G79">
        <f t="shared" si="3"/>
        <v>0</v>
      </c>
    </row>
    <row r="80" spans="1:7" x14ac:dyDescent="0.35">
      <c r="A80">
        <v>79</v>
      </c>
      <c r="F80" s="1" t="e">
        <f t="shared" si="2"/>
        <v>#DIV/0!</v>
      </c>
      <c r="G80">
        <f t="shared" si="3"/>
        <v>0</v>
      </c>
    </row>
    <row r="81" spans="1:7" x14ac:dyDescent="0.35">
      <c r="A81">
        <v>80</v>
      </c>
      <c r="F81" s="1" t="e">
        <f t="shared" si="2"/>
        <v>#DIV/0!</v>
      </c>
      <c r="G81">
        <f t="shared" si="3"/>
        <v>0</v>
      </c>
    </row>
    <row r="82" spans="1:7" x14ac:dyDescent="0.35">
      <c r="A82">
        <v>81</v>
      </c>
      <c r="F82" s="1" t="e">
        <f t="shared" si="2"/>
        <v>#DIV/0!</v>
      </c>
      <c r="G82">
        <f t="shared" si="3"/>
        <v>0</v>
      </c>
    </row>
    <row r="83" spans="1:7" x14ac:dyDescent="0.35">
      <c r="A83">
        <v>82</v>
      </c>
      <c r="F83" s="1" t="e">
        <f t="shared" si="2"/>
        <v>#DIV/0!</v>
      </c>
      <c r="G83">
        <f t="shared" si="3"/>
        <v>0</v>
      </c>
    </row>
    <row r="84" spans="1:7" x14ac:dyDescent="0.35">
      <c r="A84">
        <v>83</v>
      </c>
      <c r="F84" s="1" t="e">
        <f t="shared" si="2"/>
        <v>#DIV/0!</v>
      </c>
      <c r="G84">
        <f t="shared" si="3"/>
        <v>0</v>
      </c>
    </row>
    <row r="85" spans="1:7" x14ac:dyDescent="0.35">
      <c r="A85">
        <v>84</v>
      </c>
      <c r="F85" s="1" t="e">
        <f t="shared" si="2"/>
        <v>#DIV/0!</v>
      </c>
      <c r="G85">
        <f t="shared" si="3"/>
        <v>0</v>
      </c>
    </row>
    <row r="86" spans="1:7" x14ac:dyDescent="0.35">
      <c r="A86">
        <v>85</v>
      </c>
      <c r="F86" s="1" t="e">
        <f t="shared" si="2"/>
        <v>#DIV/0!</v>
      </c>
      <c r="G86">
        <f t="shared" si="3"/>
        <v>0</v>
      </c>
    </row>
    <row r="87" spans="1:7" x14ac:dyDescent="0.35">
      <c r="A87">
        <v>86</v>
      </c>
      <c r="F87" s="1" t="e">
        <f t="shared" si="2"/>
        <v>#DIV/0!</v>
      </c>
      <c r="G87">
        <f t="shared" si="3"/>
        <v>0</v>
      </c>
    </row>
    <row r="88" spans="1:7" x14ac:dyDescent="0.35">
      <c r="A88">
        <v>87</v>
      </c>
      <c r="F88" s="1" t="e">
        <f t="shared" si="2"/>
        <v>#DIV/0!</v>
      </c>
      <c r="G88">
        <f t="shared" si="3"/>
        <v>0</v>
      </c>
    </row>
    <row r="89" spans="1:7" x14ac:dyDescent="0.35">
      <c r="A89">
        <v>88</v>
      </c>
      <c r="F89" s="1" t="e">
        <f t="shared" si="2"/>
        <v>#DIV/0!</v>
      </c>
      <c r="G89">
        <f t="shared" si="3"/>
        <v>0</v>
      </c>
    </row>
    <row r="90" spans="1:7" x14ac:dyDescent="0.35">
      <c r="A90">
        <v>89</v>
      </c>
      <c r="F90" s="1" t="e">
        <f t="shared" si="2"/>
        <v>#DIV/0!</v>
      </c>
      <c r="G90">
        <f t="shared" si="3"/>
        <v>0</v>
      </c>
    </row>
    <row r="91" spans="1:7" x14ac:dyDescent="0.35">
      <c r="A91">
        <v>90</v>
      </c>
      <c r="F91" s="1" t="e">
        <f t="shared" si="2"/>
        <v>#DIV/0!</v>
      </c>
      <c r="G91">
        <f t="shared" si="3"/>
        <v>0</v>
      </c>
    </row>
    <row r="92" spans="1:7" x14ac:dyDescent="0.35">
      <c r="A92">
        <v>91</v>
      </c>
      <c r="F92" s="1" t="e">
        <f t="shared" si="2"/>
        <v>#DIV/0!</v>
      </c>
      <c r="G92">
        <f t="shared" si="3"/>
        <v>0</v>
      </c>
    </row>
    <row r="93" spans="1:7" x14ac:dyDescent="0.35">
      <c r="A93">
        <v>92</v>
      </c>
      <c r="F93" s="1" t="e">
        <f t="shared" si="2"/>
        <v>#DIV/0!</v>
      </c>
      <c r="G93">
        <f t="shared" si="3"/>
        <v>0</v>
      </c>
    </row>
    <row r="94" spans="1:7" x14ac:dyDescent="0.35">
      <c r="A94">
        <v>93</v>
      </c>
      <c r="F94" s="1" t="e">
        <f t="shared" si="2"/>
        <v>#DIV/0!</v>
      </c>
      <c r="G94">
        <f t="shared" si="3"/>
        <v>0</v>
      </c>
    </row>
    <row r="95" spans="1:7" x14ac:dyDescent="0.35">
      <c r="A95">
        <v>94</v>
      </c>
      <c r="F95" s="1" t="e">
        <f t="shared" si="2"/>
        <v>#DIV/0!</v>
      </c>
      <c r="G95">
        <f t="shared" si="3"/>
        <v>0</v>
      </c>
    </row>
    <row r="96" spans="1:7" x14ac:dyDescent="0.35">
      <c r="A96">
        <v>95</v>
      </c>
      <c r="F96" s="1" t="e">
        <f t="shared" si="2"/>
        <v>#DIV/0!</v>
      </c>
      <c r="G96">
        <f t="shared" si="3"/>
        <v>0</v>
      </c>
    </row>
    <row r="97" spans="1:7" x14ac:dyDescent="0.35">
      <c r="A97">
        <v>96</v>
      </c>
      <c r="F97" s="1" t="e">
        <f t="shared" si="2"/>
        <v>#DIV/0!</v>
      </c>
      <c r="G97">
        <f t="shared" si="3"/>
        <v>0</v>
      </c>
    </row>
    <row r="98" spans="1:7" x14ac:dyDescent="0.35">
      <c r="A98">
        <v>97</v>
      </c>
      <c r="F98" s="1" t="e">
        <f t="shared" si="2"/>
        <v>#DIV/0!</v>
      </c>
      <c r="G98">
        <f t="shared" si="3"/>
        <v>0</v>
      </c>
    </row>
    <row r="99" spans="1:7" x14ac:dyDescent="0.35">
      <c r="A99">
        <v>98</v>
      </c>
      <c r="F99" s="1" t="e">
        <f t="shared" si="2"/>
        <v>#DIV/0!</v>
      </c>
      <c r="G99">
        <f t="shared" si="3"/>
        <v>0</v>
      </c>
    </row>
    <row r="100" spans="1:7" x14ac:dyDescent="0.35">
      <c r="A100">
        <v>99</v>
      </c>
      <c r="F100" s="1" t="e">
        <f t="shared" si="2"/>
        <v>#DIV/0!</v>
      </c>
      <c r="G100">
        <f t="shared" si="3"/>
        <v>0</v>
      </c>
    </row>
    <row r="101" spans="1:7" x14ac:dyDescent="0.35">
      <c r="A101">
        <v>100</v>
      </c>
      <c r="F101" s="1" t="e">
        <f t="shared" si="2"/>
        <v>#DIV/0!</v>
      </c>
      <c r="G101">
        <f t="shared" si="3"/>
        <v>0</v>
      </c>
    </row>
    <row r="102" spans="1:7" x14ac:dyDescent="0.35">
      <c r="A102">
        <v>101</v>
      </c>
      <c r="F102" s="1" t="e">
        <f t="shared" si="2"/>
        <v>#DIV/0!</v>
      </c>
      <c r="G102">
        <f t="shared" si="3"/>
        <v>0</v>
      </c>
    </row>
    <row r="103" spans="1:7" x14ac:dyDescent="0.35">
      <c r="A103">
        <v>102</v>
      </c>
      <c r="F103" s="1" t="e">
        <f t="shared" si="2"/>
        <v>#DIV/0!</v>
      </c>
      <c r="G103">
        <f t="shared" si="3"/>
        <v>0</v>
      </c>
    </row>
    <row r="104" spans="1:7" x14ac:dyDescent="0.35">
      <c r="A104">
        <v>103</v>
      </c>
      <c r="F104" s="1" t="e">
        <f t="shared" si="2"/>
        <v>#DIV/0!</v>
      </c>
      <c r="G104">
        <f t="shared" si="3"/>
        <v>0</v>
      </c>
    </row>
    <row r="105" spans="1:7" x14ac:dyDescent="0.35">
      <c r="A105">
        <v>104</v>
      </c>
      <c r="F105" s="1" t="e">
        <f t="shared" si="2"/>
        <v>#DIV/0!</v>
      </c>
      <c r="G105">
        <f t="shared" si="3"/>
        <v>0</v>
      </c>
    </row>
    <row r="106" spans="1:7" x14ac:dyDescent="0.35">
      <c r="A106">
        <v>105</v>
      </c>
      <c r="F106" s="1" t="e">
        <f t="shared" si="2"/>
        <v>#DIV/0!</v>
      </c>
      <c r="G106">
        <f t="shared" si="3"/>
        <v>0</v>
      </c>
    </row>
    <row r="107" spans="1:7" x14ac:dyDescent="0.35">
      <c r="A107">
        <v>106</v>
      </c>
      <c r="F107" s="1" t="e">
        <f t="shared" si="2"/>
        <v>#DIV/0!</v>
      </c>
      <c r="G107">
        <f t="shared" si="3"/>
        <v>0</v>
      </c>
    </row>
    <row r="108" spans="1:7" x14ac:dyDescent="0.35">
      <c r="A108">
        <v>107</v>
      </c>
      <c r="F108" s="1" t="e">
        <f t="shared" si="2"/>
        <v>#DIV/0!</v>
      </c>
      <c r="G108">
        <f t="shared" si="3"/>
        <v>0</v>
      </c>
    </row>
    <row r="109" spans="1:7" x14ac:dyDescent="0.35">
      <c r="A109">
        <v>108</v>
      </c>
      <c r="F109" s="1" t="e">
        <f t="shared" si="2"/>
        <v>#DIV/0!</v>
      </c>
      <c r="G109">
        <f t="shared" si="3"/>
        <v>0</v>
      </c>
    </row>
    <row r="110" spans="1:7" x14ac:dyDescent="0.35">
      <c r="A110">
        <v>109</v>
      </c>
      <c r="F110" s="1" t="e">
        <f t="shared" si="2"/>
        <v>#DIV/0!</v>
      </c>
      <c r="G110">
        <f t="shared" si="3"/>
        <v>0</v>
      </c>
    </row>
    <row r="111" spans="1:7" x14ac:dyDescent="0.35">
      <c r="A111">
        <v>110</v>
      </c>
      <c r="F111" s="1" t="e">
        <f t="shared" si="2"/>
        <v>#DIV/0!</v>
      </c>
      <c r="G111">
        <f t="shared" si="3"/>
        <v>0</v>
      </c>
    </row>
    <row r="112" spans="1:7" x14ac:dyDescent="0.35">
      <c r="A112">
        <v>111</v>
      </c>
      <c r="F112" s="1" t="e">
        <f t="shared" si="2"/>
        <v>#DIV/0!</v>
      </c>
      <c r="G112">
        <f t="shared" si="3"/>
        <v>0</v>
      </c>
    </row>
    <row r="113" spans="1:7" x14ac:dyDescent="0.35">
      <c r="A113">
        <v>112</v>
      </c>
      <c r="F113" s="1" t="e">
        <f t="shared" si="2"/>
        <v>#DIV/0!</v>
      </c>
      <c r="G113">
        <f t="shared" si="3"/>
        <v>0</v>
      </c>
    </row>
    <row r="114" spans="1:7" x14ac:dyDescent="0.35">
      <c r="A114">
        <v>113</v>
      </c>
      <c r="F114" s="1" t="e">
        <f t="shared" si="2"/>
        <v>#DIV/0!</v>
      </c>
      <c r="G114">
        <f t="shared" si="3"/>
        <v>0</v>
      </c>
    </row>
    <row r="115" spans="1:7" x14ac:dyDescent="0.35">
      <c r="A115">
        <v>114</v>
      </c>
      <c r="F115" s="1" t="e">
        <f t="shared" si="2"/>
        <v>#DIV/0!</v>
      </c>
      <c r="G115">
        <f t="shared" si="3"/>
        <v>0</v>
      </c>
    </row>
    <row r="116" spans="1:7" x14ac:dyDescent="0.35">
      <c r="A116">
        <v>115</v>
      </c>
      <c r="F116" s="1" t="e">
        <f t="shared" si="2"/>
        <v>#DIV/0!</v>
      </c>
      <c r="G116">
        <f t="shared" si="3"/>
        <v>0</v>
      </c>
    </row>
    <row r="117" spans="1:7" x14ac:dyDescent="0.35">
      <c r="A117">
        <v>116</v>
      </c>
      <c r="F117" s="1" t="e">
        <f t="shared" si="2"/>
        <v>#DIV/0!</v>
      </c>
      <c r="G117">
        <f t="shared" si="3"/>
        <v>0</v>
      </c>
    </row>
    <row r="118" spans="1:7" x14ac:dyDescent="0.35">
      <c r="A118">
        <v>117</v>
      </c>
      <c r="F118" s="1" t="e">
        <f t="shared" si="2"/>
        <v>#DIV/0!</v>
      </c>
      <c r="G118">
        <f t="shared" si="3"/>
        <v>0</v>
      </c>
    </row>
    <row r="119" spans="1:7" x14ac:dyDescent="0.35">
      <c r="A119">
        <v>118</v>
      </c>
      <c r="F119" s="1" t="e">
        <f t="shared" si="2"/>
        <v>#DIV/0!</v>
      </c>
      <c r="G119">
        <f t="shared" si="3"/>
        <v>0</v>
      </c>
    </row>
    <row r="120" spans="1:7" x14ac:dyDescent="0.35">
      <c r="A120">
        <v>119</v>
      </c>
      <c r="F120" s="1" t="e">
        <f t="shared" si="2"/>
        <v>#DIV/0!</v>
      </c>
      <c r="G120">
        <f t="shared" si="3"/>
        <v>0</v>
      </c>
    </row>
    <row r="121" spans="1:7" x14ac:dyDescent="0.35">
      <c r="A121">
        <v>120</v>
      </c>
      <c r="F121" s="1" t="e">
        <f t="shared" si="2"/>
        <v>#DIV/0!</v>
      </c>
      <c r="G121">
        <f t="shared" si="3"/>
        <v>0</v>
      </c>
    </row>
    <row r="122" spans="1:7" x14ac:dyDescent="0.35">
      <c r="A122">
        <v>121</v>
      </c>
      <c r="F122" s="1" t="e">
        <f t="shared" si="2"/>
        <v>#DIV/0!</v>
      </c>
      <c r="G122">
        <f t="shared" si="3"/>
        <v>0</v>
      </c>
    </row>
    <row r="123" spans="1:7" x14ac:dyDescent="0.35">
      <c r="A123">
        <v>122</v>
      </c>
      <c r="F123" s="1" t="e">
        <f t="shared" si="2"/>
        <v>#DIV/0!</v>
      </c>
      <c r="G123">
        <f t="shared" si="3"/>
        <v>0</v>
      </c>
    </row>
    <row r="124" spans="1:7" x14ac:dyDescent="0.35">
      <c r="A124">
        <v>123</v>
      </c>
      <c r="F124" s="1" t="e">
        <f t="shared" si="2"/>
        <v>#DIV/0!</v>
      </c>
      <c r="G124">
        <f t="shared" si="3"/>
        <v>0</v>
      </c>
    </row>
    <row r="125" spans="1:7" x14ac:dyDescent="0.35">
      <c r="A125">
        <v>124</v>
      </c>
      <c r="F125" s="1" t="e">
        <f t="shared" si="2"/>
        <v>#DIV/0!</v>
      </c>
      <c r="G125">
        <f t="shared" si="3"/>
        <v>0</v>
      </c>
    </row>
    <row r="126" spans="1:7" x14ac:dyDescent="0.35">
      <c r="A126">
        <v>125</v>
      </c>
      <c r="F126" s="1" t="e">
        <f t="shared" si="2"/>
        <v>#DIV/0!</v>
      </c>
      <c r="G126">
        <f t="shared" si="3"/>
        <v>0</v>
      </c>
    </row>
    <row r="127" spans="1:7" x14ac:dyDescent="0.35">
      <c r="A127">
        <v>126</v>
      </c>
      <c r="F127" s="1" t="e">
        <f t="shared" si="2"/>
        <v>#DIV/0!</v>
      </c>
      <c r="G127">
        <f t="shared" si="3"/>
        <v>0</v>
      </c>
    </row>
    <row r="128" spans="1:7" x14ac:dyDescent="0.35">
      <c r="A128">
        <v>127</v>
      </c>
      <c r="F128" s="1" t="e">
        <f t="shared" si="2"/>
        <v>#DIV/0!</v>
      </c>
      <c r="G128">
        <f t="shared" si="3"/>
        <v>0</v>
      </c>
    </row>
    <row r="129" spans="1:7" x14ac:dyDescent="0.35">
      <c r="A129">
        <v>128</v>
      </c>
      <c r="F129" s="1" t="e">
        <f t="shared" si="2"/>
        <v>#DIV/0!</v>
      </c>
      <c r="G129">
        <f t="shared" si="3"/>
        <v>0</v>
      </c>
    </row>
    <row r="130" spans="1:7" x14ac:dyDescent="0.35">
      <c r="A130">
        <v>129</v>
      </c>
      <c r="F130" s="1" t="e">
        <f t="shared" si="2"/>
        <v>#DIV/0!</v>
      </c>
      <c r="G130">
        <f t="shared" si="3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9A3D-E91B-4E52-AB01-1D75EC55C94C}">
  <dimension ref="A1:I6"/>
  <sheetViews>
    <sheetView workbookViewId="0">
      <selection activeCell="G11" sqref="G11"/>
    </sheetView>
  </sheetViews>
  <sheetFormatPr baseColWidth="10" defaultRowHeight="14.5" x14ac:dyDescent="0.35"/>
  <cols>
    <col min="2" max="2" width="14.6328125" bestFit="1" customWidth="1"/>
    <col min="4" max="4" width="11.90625" customWidth="1"/>
    <col min="5" max="5" width="10.90625" style="1"/>
    <col min="6" max="6" width="12.90625" style="2" customWidth="1"/>
    <col min="7" max="7" width="19.453125" customWidth="1"/>
    <col min="8" max="8" width="15.08984375" customWidth="1"/>
  </cols>
  <sheetData>
    <row r="1" spans="1:9" x14ac:dyDescent="0.35">
      <c r="A1" t="s">
        <v>5</v>
      </c>
      <c r="B1" t="s">
        <v>0</v>
      </c>
      <c r="C1" t="s">
        <v>1</v>
      </c>
      <c r="D1" t="s">
        <v>6</v>
      </c>
      <c r="E1" s="1" t="s">
        <v>16</v>
      </c>
      <c r="F1" s="2" t="s">
        <v>18</v>
      </c>
      <c r="G1" s="1" t="s">
        <v>17</v>
      </c>
      <c r="H1" s="1" t="s">
        <v>3</v>
      </c>
      <c r="I1" t="s">
        <v>9</v>
      </c>
    </row>
    <row r="2" spans="1:9" x14ac:dyDescent="0.35">
      <c r="A2">
        <v>1</v>
      </c>
      <c r="B2" t="s">
        <v>10</v>
      </c>
      <c r="C2">
        <f>8*60*22</f>
        <v>10560</v>
      </c>
      <c r="D2" t="s">
        <v>15</v>
      </c>
      <c r="E2" s="1">
        <f>1100</f>
        <v>1100</v>
      </c>
      <c r="F2" s="2">
        <v>0.2</v>
      </c>
      <c r="G2" s="1">
        <f>((E2*F2)+E2)*1.5</f>
        <v>1980</v>
      </c>
      <c r="H2" s="1">
        <f>G2/C2</f>
        <v>0.1875</v>
      </c>
      <c r="I2" t="str">
        <f>D2</f>
        <v>minutos/mes</v>
      </c>
    </row>
    <row r="3" spans="1:9" x14ac:dyDescent="0.35">
      <c r="A3">
        <v>2</v>
      </c>
      <c r="B3" t="s">
        <v>11</v>
      </c>
      <c r="C3">
        <f t="shared" ref="C3:C6" si="0">8*60*22</f>
        <v>10560</v>
      </c>
      <c r="D3" t="s">
        <v>15</v>
      </c>
      <c r="E3" s="1">
        <v>1300</v>
      </c>
      <c r="F3" s="2">
        <v>0.2</v>
      </c>
      <c r="G3" s="1">
        <f t="shared" ref="G3:G6" si="1">((E3*F3)+E3)*1.5</f>
        <v>2340</v>
      </c>
      <c r="H3" s="1">
        <f t="shared" ref="H3:H6" si="2">G3/C3</f>
        <v>0.22159090909090909</v>
      </c>
      <c r="I3" t="str">
        <f t="shared" ref="I3:I6" si="3">D3</f>
        <v>minutos/mes</v>
      </c>
    </row>
    <row r="4" spans="1:9" x14ac:dyDescent="0.35">
      <c r="A4">
        <v>3</v>
      </c>
      <c r="B4" t="s">
        <v>12</v>
      </c>
      <c r="C4">
        <f t="shared" si="0"/>
        <v>10560</v>
      </c>
      <c r="D4" t="s">
        <v>15</v>
      </c>
      <c r="E4" s="1">
        <v>1600</v>
      </c>
      <c r="F4" s="2">
        <v>0.2</v>
      </c>
      <c r="G4" s="1">
        <f t="shared" si="1"/>
        <v>2880</v>
      </c>
      <c r="H4" s="1">
        <f t="shared" si="2"/>
        <v>0.27272727272727271</v>
      </c>
      <c r="I4" t="str">
        <f t="shared" si="3"/>
        <v>minutos/mes</v>
      </c>
    </row>
    <row r="5" spans="1:9" x14ac:dyDescent="0.35">
      <c r="A5">
        <v>4</v>
      </c>
      <c r="B5" t="s">
        <v>13</v>
      </c>
      <c r="C5">
        <f t="shared" si="0"/>
        <v>10560</v>
      </c>
      <c r="D5" t="s">
        <v>15</v>
      </c>
      <c r="E5" s="1">
        <v>1800</v>
      </c>
      <c r="F5" s="2">
        <v>0.22</v>
      </c>
      <c r="G5" s="1">
        <f t="shared" si="1"/>
        <v>3294</v>
      </c>
      <c r="H5" s="1">
        <f t="shared" si="2"/>
        <v>0.3119318181818182</v>
      </c>
      <c r="I5" t="str">
        <f t="shared" si="3"/>
        <v>minutos/mes</v>
      </c>
    </row>
    <row r="6" spans="1:9" x14ac:dyDescent="0.35">
      <c r="A6">
        <v>5</v>
      </c>
      <c r="B6" t="s">
        <v>14</v>
      </c>
      <c r="C6">
        <f t="shared" si="0"/>
        <v>10560</v>
      </c>
      <c r="D6" t="s">
        <v>15</v>
      </c>
      <c r="E6" s="1">
        <v>3000</v>
      </c>
      <c r="F6" s="2">
        <v>0.25</v>
      </c>
      <c r="G6" s="1">
        <f t="shared" si="1"/>
        <v>5625</v>
      </c>
      <c r="H6" s="1">
        <f t="shared" si="2"/>
        <v>0.53267045454545459</v>
      </c>
      <c r="I6" t="str">
        <f t="shared" si="3"/>
        <v>minutos/mes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E36A-6B20-4B6A-B908-3196B83231AE}">
  <dimension ref="A1:G5"/>
  <sheetViews>
    <sheetView workbookViewId="0">
      <selection activeCell="E4" sqref="E4"/>
    </sheetView>
  </sheetViews>
  <sheetFormatPr baseColWidth="10" defaultRowHeight="14.5" x14ac:dyDescent="0.35"/>
  <cols>
    <col min="2" max="2" width="14.6328125" bestFit="1" customWidth="1"/>
    <col min="4" max="4" width="11.90625" customWidth="1"/>
    <col min="5" max="5" width="19.453125" customWidth="1"/>
    <col min="6" max="6" width="15.08984375" customWidth="1"/>
  </cols>
  <sheetData>
    <row r="1" spans="1:7" x14ac:dyDescent="0.35">
      <c r="A1" t="s">
        <v>5</v>
      </c>
      <c r="B1" t="s">
        <v>0</v>
      </c>
      <c r="C1" t="s">
        <v>1</v>
      </c>
      <c r="D1" t="s">
        <v>6</v>
      </c>
      <c r="E1" s="1" t="s">
        <v>17</v>
      </c>
      <c r="F1" s="1" t="s">
        <v>3</v>
      </c>
      <c r="G1" t="s">
        <v>9</v>
      </c>
    </row>
    <row r="2" spans="1:7" x14ac:dyDescent="0.35">
      <c r="A2">
        <v>1</v>
      </c>
      <c r="B2" t="s">
        <v>19</v>
      </c>
      <c r="C2">
        <f>8*60*22</f>
        <v>10560</v>
      </c>
      <c r="D2" t="s">
        <v>15</v>
      </c>
      <c r="E2" s="1">
        <v>335</v>
      </c>
      <c r="F2" s="1">
        <f>E2/C2</f>
        <v>3.1723484848484848E-2</v>
      </c>
      <c r="G2" t="str">
        <f>D2</f>
        <v>minutos/mes</v>
      </c>
    </row>
    <row r="3" spans="1:7" x14ac:dyDescent="0.35">
      <c r="A3">
        <v>2</v>
      </c>
      <c r="B3" t="s">
        <v>20</v>
      </c>
      <c r="C3">
        <f t="shared" ref="C3:C4" si="0">8*60*22</f>
        <v>10560</v>
      </c>
      <c r="D3" t="s">
        <v>15</v>
      </c>
      <c r="E3" s="1">
        <v>100</v>
      </c>
      <c r="F3" s="1">
        <f>E3/C3</f>
        <v>9.46969696969697E-3</v>
      </c>
      <c r="G3" t="str">
        <f t="shared" ref="G3:G4" si="1">D3</f>
        <v>minutos/mes</v>
      </c>
    </row>
    <row r="4" spans="1:7" x14ac:dyDescent="0.35">
      <c r="A4">
        <v>3</v>
      </c>
      <c r="B4" t="s">
        <v>21</v>
      </c>
      <c r="C4">
        <f t="shared" si="0"/>
        <v>10560</v>
      </c>
      <c r="D4" t="s">
        <v>15</v>
      </c>
      <c r="E4" s="1">
        <f>20*22</f>
        <v>440</v>
      </c>
      <c r="F4" s="1">
        <f>E4/C4</f>
        <v>4.1666666666666664E-2</v>
      </c>
      <c r="G4" t="str">
        <f t="shared" si="1"/>
        <v>minutos/mes</v>
      </c>
    </row>
    <row r="5" spans="1:7" x14ac:dyDescent="0.35">
      <c r="A5" t="s">
        <v>118</v>
      </c>
      <c r="F5" s="1">
        <f>SUBTOTAL(109,Tabla13[Precio Unitario])</f>
        <v>8.2859848484848481E-2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72DB-18BF-4D88-B759-24D89BFCDDCF}">
  <dimension ref="A1:B2"/>
  <sheetViews>
    <sheetView workbookViewId="0">
      <selection activeCell="B3" sqref="B3"/>
    </sheetView>
  </sheetViews>
  <sheetFormatPr baseColWidth="10" defaultRowHeight="14.5" x14ac:dyDescent="0.35"/>
  <sheetData>
    <row r="1" spans="1:2" x14ac:dyDescent="0.35">
      <c r="A1" t="s">
        <v>129</v>
      </c>
      <c r="B1" s="5">
        <v>0.21</v>
      </c>
    </row>
    <row r="2" spans="1:2" x14ac:dyDescent="0.35">
      <c r="A2" t="s">
        <v>130</v>
      </c>
      <c r="B2" s="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PVR</vt:lpstr>
      <vt:lpstr>Servicios</vt:lpstr>
      <vt:lpstr>Productos</vt:lpstr>
      <vt:lpstr>Personal</vt:lpstr>
      <vt:lpstr>Gastos Generales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LOURDES  LLITERAS</dc:creator>
  <cp:lastModifiedBy>LOURDES  LLITERAS</cp:lastModifiedBy>
  <dcterms:created xsi:type="dcterms:W3CDTF">2024-06-24T19:34:29Z</dcterms:created>
  <dcterms:modified xsi:type="dcterms:W3CDTF">2024-06-27T12:24:17Z</dcterms:modified>
</cp:coreProperties>
</file>